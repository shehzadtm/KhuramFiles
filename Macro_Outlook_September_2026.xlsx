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Analysis" sheetId="2" r:id="rId2"/>
    <sheet name="Prices" sheetId="3" r:id="rId3"/>
    <sheet name="Methodology" sheetId="4" r:id="rId4"/>
  </sheets>
  <definedNames>
    <definedName name="_xlnm._FilterDatabase" localSheetId="1" hidden="1">Analysis!$A$4:$G$23</definedName>
    <definedName name="_xlnm._FilterDatabase" localSheetId="2" hidden="1">Prices!$A$1:$T$20</definedName>
  </definedNames>
  <calcPr calcId="124519" fullCalcOnLoad="1"/>
</workbook>
</file>

<file path=xl/sharedStrings.xml><?xml version="1.0" encoding="utf-8"?>
<sst xmlns="http://schemas.openxmlformats.org/spreadsheetml/2006/main" count="203" uniqueCount="112">
  <si>
    <t>Macro Outlook Dashboard</t>
  </si>
  <si>
    <t>Yahoo Finance data | 01 Sep 2026 – 25 Sep 2026 | Generated 25 Sep 2026</t>
  </si>
  <si>
    <t>September market snapshot</t>
  </si>
  <si>
    <t>S&amp;P 500</t>
  </si>
  <si>
    <t>High Yield / IG</t>
  </si>
  <si>
    <t>Equity Breadth</t>
  </si>
  <si>
    <t>VIX Change</t>
  </si>
  <si>
    <t>Macro signal board</t>
  </si>
  <si>
    <t>Category</t>
  </si>
  <si>
    <t>Measure</t>
  </si>
  <si>
    <t>September change</t>
  </si>
  <si>
    <t>Regime</t>
  </si>
  <si>
    <t>How to read it</t>
  </si>
  <si>
    <t>Portfolio implication</t>
  </si>
  <si>
    <t>Equity breadth</t>
  </si>
  <si>
    <t>SPY/RSP</t>
  </si>
  <si>
    <t>Risk-on</t>
  </si>
  <si>
    <t>Positive favors mega-cap leadership; negative favors broader participation.</t>
  </si>
  <si>
    <t>Keep risk controls; no signal-driven action alone.</t>
  </si>
  <si>
    <t>Small-cap participation</t>
  </si>
  <si>
    <t>IWM/SPY</t>
  </si>
  <si>
    <t>Caution</t>
  </si>
  <si>
    <t>Positive suggests more cyclical risk appetite.</t>
  </si>
  <si>
    <t>Review concentration, liquidity, and hedge sizing.</t>
  </si>
  <si>
    <t>Credit risk appetite</t>
  </si>
  <si>
    <t>HYG/LQD</t>
  </si>
  <si>
    <t>Neutral</t>
  </si>
  <si>
    <t>Falling indicates high-yield credit is lagging investment grade.</t>
  </si>
  <si>
    <t>Monitor for confirmation across other indicators.</t>
  </si>
  <si>
    <t>Consumer cyclicality</t>
  </si>
  <si>
    <t>XLY/XLP</t>
  </si>
  <si>
    <t>Falling indicates defensive consumer leadership.</t>
  </si>
  <si>
    <t>Regional-bank stress</t>
  </si>
  <si>
    <t>KRE/SPY</t>
  </si>
  <si>
    <t>Falling can flag domestic-credit or funding concerns.</t>
  </si>
  <si>
    <t>Semiconductor leadership</t>
  </si>
  <si>
    <t>SOXX/SPY</t>
  </si>
  <si>
    <t>Falling indicates technology leadership is fading.</t>
  </si>
  <si>
    <t>Dollar regime</t>
  </si>
  <si>
    <t>UUP</t>
  </si>
  <si>
    <t>A stronger dollar can tighten global financial conditions.</t>
  </si>
  <si>
    <t>Inflation / geopolitics</t>
  </si>
  <si>
    <t>GLD</t>
  </si>
  <si>
    <t>Rising gold can reflect falling real yields, inflation concern, or risk aversion.</t>
  </si>
  <si>
    <t>Oil impulse</t>
  </si>
  <si>
    <t>USO</t>
  </si>
  <si>
    <t>A sharp rise can add to inflation pressure.</t>
  </si>
  <si>
    <t>Long-duration rates</t>
  </si>
  <si>
    <t>TLT</t>
  </si>
  <si>
    <t>Falling TLT generally means rising long yields.</t>
  </si>
  <si>
    <t>10Y yield</t>
  </si>
  <si>
    <t>^TNX</t>
  </si>
  <si>
    <t>^TNX is quoted in percent; rising yields pressure long-duration assets.</t>
  </si>
  <si>
    <t>Volatility</t>
  </si>
  <si>
    <t>^VIX</t>
  </si>
  <si>
    <t>Rising VIX implies higher expected near-term equity volatility.</t>
  </si>
  <si>
    <t>This workbook is an informational market-monitoring tool, not investment advice. Use the signals as a cross-check with your allocation, time horizon, taxes, liquidity needs, and risk tolerance.</t>
  </si>
  <si>
    <t>September Performance &amp; Risk Analysis</t>
  </si>
  <si>
    <t>Returns use adjusted daily close where Yahoo Finance supplies it. Max drawdown is measured within the selected month.</t>
  </si>
  <si>
    <t>Ticker</t>
  </si>
  <si>
    <t>Asset / Signal</t>
  </si>
  <si>
    <t>Sep Start</t>
  </si>
  <si>
    <t>Last Close</t>
  </si>
  <si>
    <t>Sep Return</t>
  </si>
  <si>
    <t>Max Drawdown</t>
  </si>
  <si>
    <t>Observations</t>
  </si>
  <si>
    <t>SOXX</t>
  </si>
  <si>
    <t>Semiconductors</t>
  </si>
  <si>
    <t>US 10Y Yield</t>
  </si>
  <si>
    <t>Oil</t>
  </si>
  <si>
    <t>EEM</t>
  </si>
  <si>
    <t>Emerging Markets</t>
  </si>
  <si>
    <t>SPY</t>
  </si>
  <si>
    <t>US Dollar</t>
  </si>
  <si>
    <t>Gold</t>
  </si>
  <si>
    <t>EFA</t>
  </si>
  <si>
    <t>Developed ex-US</t>
  </si>
  <si>
    <t>KRE</t>
  </si>
  <si>
    <t>Regional Banks</t>
  </si>
  <si>
    <t>HYG</t>
  </si>
  <si>
    <t>High Yield</t>
  </si>
  <si>
    <t>LQD</t>
  </si>
  <si>
    <t>Investment Grade Credit</t>
  </si>
  <si>
    <t>IEF</t>
  </si>
  <si>
    <t>7-10 Year Treasury</t>
  </si>
  <si>
    <t>RSP</t>
  </si>
  <si>
    <t>S&amp;P 500 Equal Weight</t>
  </si>
  <si>
    <t>IWM</t>
  </si>
  <si>
    <t>US Small Caps</t>
  </si>
  <si>
    <t>XLP</t>
  </si>
  <si>
    <t>Consumer Staples</t>
  </si>
  <si>
    <t>20+ Year Treasury</t>
  </si>
  <si>
    <t>XLY</t>
  </si>
  <si>
    <t>Consumer Discretionary</t>
  </si>
  <si>
    <t>^VVIX</t>
  </si>
  <si>
    <t>VVIX</t>
  </si>
  <si>
    <t>CBOE VIX</t>
  </si>
  <si>
    <t>Date</t>
  </si>
  <si>
    <t>Methodology &amp; Refresh Notes</t>
  </si>
  <si>
    <t>Data source</t>
  </si>
  <si>
    <t>Yahoo Finance, downloaded through the yfinance Python library. Yahoo data can be delayed, corrected, incomplete, or temporarily rate-limited.</t>
  </si>
  <si>
    <t>Period</t>
  </si>
  <si>
    <t>01 September 2026 through 25 September 2026.</t>
  </si>
  <si>
    <t>Return</t>
  </si>
  <si>
    <t>Last adjusted close divided by first adjusted close, minus one.</t>
  </si>
  <si>
    <t>Max drawdown</t>
  </si>
  <si>
    <t>Largest peak-to-trough decline using daily adjusted closing prices inside the selected month.</t>
  </si>
  <si>
    <t>Ratios</t>
  </si>
  <si>
    <t>Ratio changes compare the month-end ratio with the first available ratio of the month. They are directional signals, not forecasts.</t>
  </si>
  <si>
    <t>Refresh</t>
  </si>
  <si>
    <t>Change YEAR and MONTH near the top of the script, rerun in Colab, and download the newly generated workbook.</t>
  </si>
  <si>
    <t>Description</t>
  </si>
</sst>
</file>

<file path=xl/styles.xml><?xml version="1.0" encoding="utf-8"?>
<styleSheet xmlns="http://schemas.openxmlformats.org/spreadsheetml/2006/main">
  <numFmts count="4">
    <numFmt numFmtId="164" formatCode="0.0%;[Red]-0.0%"/>
    <numFmt numFmtId="165" formatCode="$#,##0.00;[Red]($#,##0.00)"/>
    <numFmt numFmtId="166" formatCode="0.00"/>
    <numFmt numFmtId="167" formatCode="yyyy-mm-dd"/>
  </numFmts>
  <fonts count="10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DCE6F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172033"/>
      <name val="Calibri"/>
      <family val="2"/>
      <scheme val="minor"/>
    </font>
    <font>
      <b/>
      <sz val="11"/>
      <color rgb="FF198754"/>
      <name val="Calibri"/>
      <family val="2"/>
      <scheme val="minor"/>
    </font>
    <font>
      <i/>
      <sz val="11"/>
      <color rgb="FF6B7280"/>
      <name val="Calibri"/>
      <family val="2"/>
      <scheme val="minor"/>
    </font>
    <font>
      <b/>
      <sz val="11"/>
      <color rgb="FFC62828"/>
      <name val="Calibri"/>
      <family val="2"/>
      <scheme val="minor"/>
    </font>
    <font>
      <b/>
      <sz val="11"/>
      <color rgb="FFC98700"/>
      <name val="Calibri"/>
      <family val="2"/>
      <scheme val="minor"/>
    </font>
    <font>
      <sz val="11"/>
      <color rgb="FF1F2937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203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/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164" fontId="4" fillId="4" borderId="0" xfId="0" applyNumberFormat="1" applyFont="1" applyFill="1" applyAlignment="1">
      <alignment horizontal="center"/>
    </xf>
    <xf numFmtId="0" fontId="3" fillId="5" borderId="0" xfId="0" applyFont="1" applyFill="1"/>
    <xf numFmtId="164" fontId="0" fillId="0" borderId="0" xfId="0" applyNumberFormat="1"/>
    <xf numFmtId="0" fontId="5" fillId="0" borderId="0" xfId="0" applyFont="1"/>
    <xf numFmtId="0" fontId="6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165" fontId="9" fillId="0" borderId="0" xfId="0" applyNumberFormat="1" applyFont="1"/>
    <xf numFmtId="166" fontId="9" fillId="0" borderId="0" xfId="0" applyNumberFormat="1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Selected assets (rebased to 100)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Prices!$X$1</c:f>
              <c:strCache>
                <c:ptCount val="1"/>
                <c:pt idx="0">
                  <c:v>SPY</c:v>
                </c:pt>
              </c:strCache>
            </c:strRef>
          </c:tx>
          <c:marker>
            <c:symbol val="none"/>
          </c:marker>
          <c:cat>
            <c:numRef>
              <c:f>Prices!$W$2:$W$20</c:f>
              <c:numCache>
                <c:formatCode>General</c:formatCode>
                <c:ptCount val="19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46272</c:v>
                </c:pt>
                <c:pt idx="5">
                  <c:v>46273</c:v>
                </c:pt>
                <c:pt idx="6">
                  <c:v>46274</c:v>
                </c:pt>
                <c:pt idx="7">
                  <c:v>46275</c:v>
                </c:pt>
                <c:pt idx="8">
                  <c:v>46276</c:v>
                </c:pt>
                <c:pt idx="9">
                  <c:v>46279</c:v>
                </c:pt>
                <c:pt idx="10">
                  <c:v>46280</c:v>
                </c:pt>
                <c:pt idx="11">
                  <c:v>46281</c:v>
                </c:pt>
                <c:pt idx="12">
                  <c:v>46282</c:v>
                </c:pt>
                <c:pt idx="13">
                  <c:v>46283</c:v>
                </c:pt>
                <c:pt idx="14">
                  <c:v>46286</c:v>
                </c:pt>
                <c:pt idx="15">
                  <c:v>46287</c:v>
                </c:pt>
                <c:pt idx="16">
                  <c:v>46288</c:v>
                </c:pt>
                <c:pt idx="17">
                  <c:v>46289</c:v>
                </c:pt>
                <c:pt idx="18">
                  <c:v>46290</c:v>
                </c:pt>
              </c:numCache>
            </c:numRef>
          </c:cat>
          <c:val>
            <c:numRef>
              <c:f>Prices!$X$2:$X$20</c:f>
              <c:numCache>
                <c:formatCode>General</c:formatCode>
                <c:ptCount val="19"/>
                <c:pt idx="0">
                  <c:v>100</c:v>
                </c:pt>
                <c:pt idx="1">
                  <c:v>100.4436916429828</c:v>
                </c:pt>
                <c:pt idx="2">
                  <c:v>101.4951781866923</c:v>
                </c:pt>
                <c:pt idx="3">
                  <c:v>101.1039921966817</c:v>
                </c:pt>
                <c:pt idx="5">
                  <c:v>100.5487109809987</c:v>
                </c:pt>
                <c:pt idx="6">
                  <c:v>100.0813889829534</c:v>
                </c:pt>
                <c:pt idx="7">
                  <c:v>99.48147354460465</c:v>
                </c:pt>
                <c:pt idx="8">
                  <c:v>100.3294836148949</c:v>
                </c:pt>
                <c:pt idx="9">
                  <c:v>99.88184822468725</c:v>
                </c:pt>
                <c:pt idx="10">
                  <c:v>99.42371491671385</c:v>
                </c:pt>
                <c:pt idx="11">
                  <c:v>98.98526821657808</c:v>
                </c:pt>
                <c:pt idx="12">
                  <c:v>100.1076377934035</c:v>
                </c:pt>
                <c:pt idx="13">
                  <c:v>100.2364722241321</c:v>
                </c:pt>
                <c:pt idx="14">
                  <c:v>101.7906379456916</c:v>
                </c:pt>
                <c:pt idx="15">
                  <c:v>101.7748468926485</c:v>
                </c:pt>
                <c:pt idx="16">
                  <c:v>101.0418480576202</c:v>
                </c:pt>
                <c:pt idx="17">
                  <c:v>100.9589410131077</c:v>
                </c:pt>
                <c:pt idx="18">
                  <c:v>101.5077001865368</c:v>
                </c:pt>
              </c:numCache>
            </c:numRef>
          </c:val>
        </c:ser>
        <c:ser>
          <c:idx val="1"/>
          <c:order val="1"/>
          <c:tx>
            <c:strRef>
              <c:f>Prices!$Y$1</c:f>
              <c:strCache>
                <c:ptCount val="1"/>
                <c:pt idx="0">
                  <c:v>RSP</c:v>
                </c:pt>
              </c:strCache>
            </c:strRef>
          </c:tx>
          <c:marker>
            <c:symbol val="none"/>
          </c:marker>
          <c:cat>
            <c:numRef>
              <c:f>Prices!$W$2:$W$20</c:f>
              <c:numCache>
                <c:formatCode>General</c:formatCode>
                <c:ptCount val="19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46272</c:v>
                </c:pt>
                <c:pt idx="5">
                  <c:v>46273</c:v>
                </c:pt>
                <c:pt idx="6">
                  <c:v>46274</c:v>
                </c:pt>
                <c:pt idx="7">
                  <c:v>46275</c:v>
                </c:pt>
                <c:pt idx="8">
                  <c:v>46276</c:v>
                </c:pt>
                <c:pt idx="9">
                  <c:v>46279</c:v>
                </c:pt>
                <c:pt idx="10">
                  <c:v>46280</c:v>
                </c:pt>
                <c:pt idx="11">
                  <c:v>46281</c:v>
                </c:pt>
                <c:pt idx="12">
                  <c:v>46282</c:v>
                </c:pt>
                <c:pt idx="13">
                  <c:v>46283</c:v>
                </c:pt>
                <c:pt idx="14">
                  <c:v>46286</c:v>
                </c:pt>
                <c:pt idx="15">
                  <c:v>46287</c:v>
                </c:pt>
                <c:pt idx="16">
                  <c:v>46288</c:v>
                </c:pt>
                <c:pt idx="17">
                  <c:v>46289</c:v>
                </c:pt>
                <c:pt idx="18">
                  <c:v>46290</c:v>
                </c:pt>
              </c:numCache>
            </c:numRef>
          </c:cat>
          <c:val>
            <c:numRef>
              <c:f>Prices!$Y$2:$Y$20</c:f>
              <c:numCache>
                <c:formatCode>General</c:formatCode>
                <c:ptCount val="19"/>
                <c:pt idx="0">
                  <c:v>100</c:v>
                </c:pt>
                <c:pt idx="1">
                  <c:v>100.4641794053683</c:v>
                </c:pt>
                <c:pt idx="2">
                  <c:v>101.1305679848543</c:v>
                </c:pt>
                <c:pt idx="3">
                  <c:v>100.6480097667446</c:v>
                </c:pt>
                <c:pt idx="5">
                  <c:v>99.60476049964467</c:v>
                </c:pt>
                <c:pt idx="6">
                  <c:v>98.64424052635906</c:v>
                </c:pt>
                <c:pt idx="7">
                  <c:v>97.96865902100549</c:v>
                </c:pt>
                <c:pt idx="8">
                  <c:v>98.7499380568548</c:v>
                </c:pt>
                <c:pt idx="9">
                  <c:v>98.81428149893402</c:v>
                </c:pt>
                <c:pt idx="10">
                  <c:v>98.33173031981809</c:v>
                </c:pt>
                <c:pt idx="11">
                  <c:v>97.55963013184879</c:v>
                </c:pt>
                <c:pt idx="12">
                  <c:v>98.03299542409093</c:v>
                </c:pt>
                <c:pt idx="13">
                  <c:v>97.56422659478258</c:v>
                </c:pt>
                <c:pt idx="14">
                  <c:v>98.11087485119567</c:v>
                </c:pt>
                <c:pt idx="15">
                  <c:v>98.16623653722051</c:v>
                </c:pt>
                <c:pt idx="16">
                  <c:v>97.47888583427844</c:v>
                </c:pt>
                <c:pt idx="17">
                  <c:v>96.9945115557753</c:v>
                </c:pt>
                <c:pt idx="18">
                  <c:v>97.3866257428954</c:v>
                </c:pt>
              </c:numCache>
            </c:numRef>
          </c:val>
        </c:ser>
        <c:ser>
          <c:idx val="2"/>
          <c:order val="2"/>
          <c:tx>
            <c:strRef>
              <c:f>Prices!$Z$1</c:f>
              <c:strCache>
                <c:ptCount val="1"/>
                <c:pt idx="0">
                  <c:v>IWM</c:v>
                </c:pt>
              </c:strCache>
            </c:strRef>
          </c:tx>
          <c:marker>
            <c:symbol val="none"/>
          </c:marker>
          <c:cat>
            <c:numRef>
              <c:f>Prices!$W$2:$W$20</c:f>
              <c:numCache>
                <c:formatCode>General</c:formatCode>
                <c:ptCount val="19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46272</c:v>
                </c:pt>
                <c:pt idx="5">
                  <c:v>46273</c:v>
                </c:pt>
                <c:pt idx="6">
                  <c:v>46274</c:v>
                </c:pt>
                <c:pt idx="7">
                  <c:v>46275</c:v>
                </c:pt>
                <c:pt idx="8">
                  <c:v>46276</c:v>
                </c:pt>
                <c:pt idx="9">
                  <c:v>46279</c:v>
                </c:pt>
                <c:pt idx="10">
                  <c:v>46280</c:v>
                </c:pt>
                <c:pt idx="11">
                  <c:v>46281</c:v>
                </c:pt>
                <c:pt idx="12">
                  <c:v>46282</c:v>
                </c:pt>
                <c:pt idx="13">
                  <c:v>46283</c:v>
                </c:pt>
                <c:pt idx="14">
                  <c:v>46286</c:v>
                </c:pt>
                <c:pt idx="15">
                  <c:v>46287</c:v>
                </c:pt>
                <c:pt idx="16">
                  <c:v>46288</c:v>
                </c:pt>
                <c:pt idx="17">
                  <c:v>46289</c:v>
                </c:pt>
                <c:pt idx="18">
                  <c:v>46290</c:v>
                </c:pt>
              </c:numCache>
            </c:numRef>
          </c:cat>
          <c:val>
            <c:numRef>
              <c:f>Prices!$Z$2:$Z$20</c:f>
              <c:numCache>
                <c:formatCode>General</c:formatCode>
                <c:ptCount val="19"/>
                <c:pt idx="0">
                  <c:v>100</c:v>
                </c:pt>
                <c:pt idx="1">
                  <c:v>101.1838769580044</c:v>
                </c:pt>
                <c:pt idx="2">
                  <c:v>101.5899804087676</c:v>
                </c:pt>
                <c:pt idx="3">
                  <c:v>101.8721868206447</c:v>
                </c:pt>
                <c:pt idx="5">
                  <c:v>101.4110215292955</c:v>
                </c:pt>
                <c:pt idx="6">
                  <c:v>100.0240928459095</c:v>
                </c:pt>
                <c:pt idx="7">
                  <c:v>99.01228808852015</c:v>
                </c:pt>
                <c:pt idx="8">
                  <c:v>99.42183487871179</c:v>
                </c:pt>
                <c:pt idx="9">
                  <c:v>99.08455609615868</c:v>
                </c:pt>
                <c:pt idx="10">
                  <c:v>98.38755890927222</c:v>
                </c:pt>
                <c:pt idx="11">
                  <c:v>97.96659750152554</c:v>
                </c:pt>
                <c:pt idx="12">
                  <c:v>98.48761582440865</c:v>
                </c:pt>
                <c:pt idx="13">
                  <c:v>98.0287039723185</c:v>
                </c:pt>
                <c:pt idx="14">
                  <c:v>98.5393712167361</c:v>
                </c:pt>
                <c:pt idx="15">
                  <c:v>99.10180438357116</c:v>
                </c:pt>
                <c:pt idx="16">
                  <c:v>97.27649752358609</c:v>
                </c:pt>
                <c:pt idx="17">
                  <c:v>97.18678115682515</c:v>
                </c:pt>
                <c:pt idx="18">
                  <c:v>97.29374581099857</c:v>
                </c:pt>
              </c:numCache>
            </c:numRef>
          </c:val>
        </c:ser>
        <c:ser>
          <c:idx val="3"/>
          <c:order val="3"/>
          <c:tx>
            <c:strRef>
              <c:f>Prices!$AA$1</c:f>
              <c:strCache>
                <c:ptCount val="1"/>
                <c:pt idx="0">
                  <c:v>HYG</c:v>
                </c:pt>
              </c:strCache>
            </c:strRef>
          </c:tx>
          <c:marker>
            <c:symbol val="none"/>
          </c:marker>
          <c:cat>
            <c:numRef>
              <c:f>Prices!$W$2:$W$20</c:f>
              <c:numCache>
                <c:formatCode>General</c:formatCode>
                <c:ptCount val="19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46272</c:v>
                </c:pt>
                <c:pt idx="5">
                  <c:v>46273</c:v>
                </c:pt>
                <c:pt idx="6">
                  <c:v>46274</c:v>
                </c:pt>
                <c:pt idx="7">
                  <c:v>46275</c:v>
                </c:pt>
                <c:pt idx="8">
                  <c:v>46276</c:v>
                </c:pt>
                <c:pt idx="9">
                  <c:v>46279</c:v>
                </c:pt>
                <c:pt idx="10">
                  <c:v>46280</c:v>
                </c:pt>
                <c:pt idx="11">
                  <c:v>46281</c:v>
                </c:pt>
                <c:pt idx="12">
                  <c:v>46282</c:v>
                </c:pt>
                <c:pt idx="13">
                  <c:v>46283</c:v>
                </c:pt>
                <c:pt idx="14">
                  <c:v>46286</c:v>
                </c:pt>
                <c:pt idx="15">
                  <c:v>46287</c:v>
                </c:pt>
                <c:pt idx="16">
                  <c:v>46288</c:v>
                </c:pt>
                <c:pt idx="17">
                  <c:v>46289</c:v>
                </c:pt>
                <c:pt idx="18">
                  <c:v>46290</c:v>
                </c:pt>
              </c:numCache>
            </c:numRef>
          </c:cat>
          <c:val>
            <c:numRef>
              <c:f>Prices!$AA$2:$AA$20</c:f>
              <c:numCache>
                <c:formatCode>General</c:formatCode>
                <c:ptCount val="19"/>
                <c:pt idx="0">
                  <c:v>100</c:v>
                </c:pt>
                <c:pt idx="1">
                  <c:v>100.0126449259462</c:v>
                </c:pt>
                <c:pt idx="2">
                  <c:v>100.1390652496505</c:v>
                </c:pt>
                <c:pt idx="3">
                  <c:v>100.0758599104245</c:v>
                </c:pt>
                <c:pt idx="5">
                  <c:v>100.0252898518923</c:v>
                </c:pt>
                <c:pt idx="6">
                  <c:v>99.8482994696558</c:v>
                </c:pt>
                <c:pt idx="7">
                  <c:v>99.3931785881183</c:v>
                </c:pt>
                <c:pt idx="8">
                  <c:v>99.36788873622598</c:v>
                </c:pt>
                <c:pt idx="9">
                  <c:v>99.27939354510771</c:v>
                </c:pt>
                <c:pt idx="10">
                  <c:v>99.08975823692502</c:v>
                </c:pt>
                <c:pt idx="11">
                  <c:v>99.14032829545724</c:v>
                </c:pt>
                <c:pt idx="12">
                  <c:v>99.51959891182261</c:v>
                </c:pt>
                <c:pt idx="13">
                  <c:v>99.27939354510771</c:v>
                </c:pt>
                <c:pt idx="14">
                  <c:v>99.46902885329041</c:v>
                </c:pt>
                <c:pt idx="15">
                  <c:v>99.45638392734423</c:v>
                </c:pt>
                <c:pt idx="16">
                  <c:v>98.73577747245196</c:v>
                </c:pt>
                <c:pt idx="17">
                  <c:v>98.47029189909715</c:v>
                </c:pt>
                <c:pt idx="18">
                  <c:v>98.43236676651111</c:v>
                </c:pt>
              </c:numCache>
            </c:numRef>
          </c:val>
        </c:ser>
        <c:ser>
          <c:idx val="4"/>
          <c:order val="4"/>
          <c:tx>
            <c:strRef>
              <c:f>Prices!$AB$1</c:f>
              <c:strCache>
                <c:ptCount val="1"/>
                <c:pt idx="0">
                  <c:v>TLT</c:v>
                </c:pt>
              </c:strCache>
            </c:strRef>
          </c:tx>
          <c:marker>
            <c:symbol val="none"/>
          </c:marker>
          <c:cat>
            <c:numRef>
              <c:f>Prices!$W$2:$W$20</c:f>
              <c:numCache>
                <c:formatCode>General</c:formatCode>
                <c:ptCount val="19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46272</c:v>
                </c:pt>
                <c:pt idx="5">
                  <c:v>46273</c:v>
                </c:pt>
                <c:pt idx="6">
                  <c:v>46274</c:v>
                </c:pt>
                <c:pt idx="7">
                  <c:v>46275</c:v>
                </c:pt>
                <c:pt idx="8">
                  <c:v>46276</c:v>
                </c:pt>
                <c:pt idx="9">
                  <c:v>46279</c:v>
                </c:pt>
                <c:pt idx="10">
                  <c:v>46280</c:v>
                </c:pt>
                <c:pt idx="11">
                  <c:v>46281</c:v>
                </c:pt>
                <c:pt idx="12">
                  <c:v>46282</c:v>
                </c:pt>
                <c:pt idx="13">
                  <c:v>46283</c:v>
                </c:pt>
                <c:pt idx="14">
                  <c:v>46286</c:v>
                </c:pt>
                <c:pt idx="15">
                  <c:v>46287</c:v>
                </c:pt>
                <c:pt idx="16">
                  <c:v>46288</c:v>
                </c:pt>
                <c:pt idx="17">
                  <c:v>46289</c:v>
                </c:pt>
                <c:pt idx="18">
                  <c:v>46290</c:v>
                </c:pt>
              </c:numCache>
            </c:numRef>
          </c:cat>
          <c:val>
            <c:numRef>
              <c:f>Prices!$AB$2:$AB$20</c:f>
              <c:numCache>
                <c:formatCode>General</c:formatCode>
                <c:ptCount val="19"/>
                <c:pt idx="0">
                  <c:v>100</c:v>
                </c:pt>
                <c:pt idx="1">
                  <c:v>100.0977088053945</c:v>
                </c:pt>
                <c:pt idx="2">
                  <c:v>100.2442859918562</c:v>
                </c:pt>
                <c:pt idx="3">
                  <c:v>100.4152880499382</c:v>
                </c:pt>
                <c:pt idx="5">
                  <c:v>100.4030709546714</c:v>
                </c:pt>
                <c:pt idx="6">
                  <c:v>99.828997941918</c:v>
                </c:pt>
                <c:pt idx="7">
                  <c:v>98.66861618331794</c:v>
                </c:pt>
                <c:pt idx="8">
                  <c:v>98.7785514028925</c:v>
                </c:pt>
                <c:pt idx="9">
                  <c:v>98.85183533666671</c:v>
                </c:pt>
                <c:pt idx="10">
                  <c:v>98.58311515427694</c:v>
                </c:pt>
                <c:pt idx="11">
                  <c:v>98.79075917924604</c:v>
                </c:pt>
                <c:pt idx="12">
                  <c:v>99.89006478042543</c:v>
                </c:pt>
                <c:pt idx="13">
                  <c:v>99.24269851498458</c:v>
                </c:pt>
                <c:pt idx="14">
                  <c:v>99.91449897095902</c:v>
                </c:pt>
                <c:pt idx="15">
                  <c:v>99.85342281353833</c:v>
                </c:pt>
                <c:pt idx="16">
                  <c:v>98.27775300500006</c:v>
                </c:pt>
                <c:pt idx="17">
                  <c:v>97.00744534573867</c:v>
                </c:pt>
                <c:pt idx="18">
                  <c:v>96.88530234981056</c:v>
                </c:pt>
              </c:numCache>
            </c:numRef>
          </c:val>
        </c:ser>
        <c:ser>
          <c:idx val="5"/>
          <c:order val="5"/>
          <c:tx>
            <c:strRef>
              <c:f>Prices!$AC$1</c:f>
              <c:strCache>
                <c:ptCount val="1"/>
                <c:pt idx="0">
                  <c:v>GLD</c:v>
                </c:pt>
              </c:strCache>
            </c:strRef>
          </c:tx>
          <c:marker>
            <c:symbol val="none"/>
          </c:marker>
          <c:cat>
            <c:numRef>
              <c:f>Prices!$W$2:$W$20</c:f>
              <c:numCache>
                <c:formatCode>General</c:formatCode>
                <c:ptCount val="19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46272</c:v>
                </c:pt>
                <c:pt idx="5">
                  <c:v>46273</c:v>
                </c:pt>
                <c:pt idx="6">
                  <c:v>46274</c:v>
                </c:pt>
                <c:pt idx="7">
                  <c:v>46275</c:v>
                </c:pt>
                <c:pt idx="8">
                  <c:v>46276</c:v>
                </c:pt>
                <c:pt idx="9">
                  <c:v>46279</c:v>
                </c:pt>
                <c:pt idx="10">
                  <c:v>46280</c:v>
                </c:pt>
                <c:pt idx="11">
                  <c:v>46281</c:v>
                </c:pt>
                <c:pt idx="12">
                  <c:v>46282</c:v>
                </c:pt>
                <c:pt idx="13">
                  <c:v>46283</c:v>
                </c:pt>
                <c:pt idx="14">
                  <c:v>46286</c:v>
                </c:pt>
                <c:pt idx="15">
                  <c:v>46287</c:v>
                </c:pt>
                <c:pt idx="16">
                  <c:v>46288</c:v>
                </c:pt>
                <c:pt idx="17">
                  <c:v>46289</c:v>
                </c:pt>
                <c:pt idx="18">
                  <c:v>46290</c:v>
                </c:pt>
              </c:numCache>
            </c:numRef>
          </c:cat>
          <c:val>
            <c:numRef>
              <c:f>Prices!$AC$2:$AC$20</c:f>
              <c:numCache>
                <c:formatCode>General</c:formatCode>
                <c:ptCount val="19"/>
                <c:pt idx="0">
                  <c:v>100</c:v>
                </c:pt>
                <c:pt idx="1">
                  <c:v>101.5198484635909</c:v>
                </c:pt>
                <c:pt idx="2">
                  <c:v>103.3950853738382</c:v>
                </c:pt>
                <c:pt idx="3">
                  <c:v>102.5255170796905</c:v>
                </c:pt>
                <c:pt idx="5">
                  <c:v>100.7485825382995</c:v>
                </c:pt>
                <c:pt idx="6">
                  <c:v>101.6635176064312</c:v>
                </c:pt>
                <c:pt idx="7">
                  <c:v>99.90169763114368</c:v>
                </c:pt>
                <c:pt idx="8">
                  <c:v>100.509133966899</c:v>
                </c:pt>
                <c:pt idx="9">
                  <c:v>99.01449183059626</c:v>
                </c:pt>
                <c:pt idx="10">
                  <c:v>99.34467394996456</c:v>
                </c:pt>
                <c:pt idx="11">
                  <c:v>98.73723761420919</c:v>
                </c:pt>
                <c:pt idx="12">
                  <c:v>100.4057934093415</c:v>
                </c:pt>
                <c:pt idx="13">
                  <c:v>101.1140550542494</c:v>
                </c:pt>
                <c:pt idx="14">
                  <c:v>100.4108392899338</c:v>
                </c:pt>
                <c:pt idx="15">
                  <c:v>100.8368008378623</c:v>
                </c:pt>
                <c:pt idx="16">
                  <c:v>99.02457589988973</c:v>
                </c:pt>
                <c:pt idx="17">
                  <c:v>98.72463829651072</c:v>
                </c:pt>
                <c:pt idx="18">
                  <c:v>99.15816097343651</c:v>
                </c:pt>
              </c:numCache>
            </c:numRef>
          </c:val>
        </c:ser>
        <c:ser>
          <c:idx val="6"/>
          <c:order val="6"/>
          <c:tx>
            <c:strRef>
              <c:f>Prices!$AD$1</c:f>
              <c:strCache>
                <c:ptCount val="1"/>
                <c:pt idx="0">
                  <c:v>UUP</c:v>
                </c:pt>
              </c:strCache>
            </c:strRef>
          </c:tx>
          <c:marker>
            <c:symbol val="none"/>
          </c:marker>
          <c:cat>
            <c:numRef>
              <c:f>Prices!$W$2:$W$20</c:f>
              <c:numCache>
                <c:formatCode>General</c:formatCode>
                <c:ptCount val="19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46272</c:v>
                </c:pt>
                <c:pt idx="5">
                  <c:v>46273</c:v>
                </c:pt>
                <c:pt idx="6">
                  <c:v>46274</c:v>
                </c:pt>
                <c:pt idx="7">
                  <c:v>46275</c:v>
                </c:pt>
                <c:pt idx="8">
                  <c:v>46276</c:v>
                </c:pt>
                <c:pt idx="9">
                  <c:v>46279</c:v>
                </c:pt>
                <c:pt idx="10">
                  <c:v>46280</c:v>
                </c:pt>
                <c:pt idx="11">
                  <c:v>46281</c:v>
                </c:pt>
                <c:pt idx="12">
                  <c:v>46282</c:v>
                </c:pt>
                <c:pt idx="13">
                  <c:v>46283</c:v>
                </c:pt>
                <c:pt idx="14">
                  <c:v>46286</c:v>
                </c:pt>
                <c:pt idx="15">
                  <c:v>46287</c:v>
                </c:pt>
                <c:pt idx="16">
                  <c:v>46288</c:v>
                </c:pt>
                <c:pt idx="17">
                  <c:v>46289</c:v>
                </c:pt>
                <c:pt idx="18">
                  <c:v>46290</c:v>
                </c:pt>
              </c:numCache>
            </c:numRef>
          </c:cat>
          <c:val>
            <c:numRef>
              <c:f>Prices!$AD$2:$AD$20</c:f>
              <c:numCache>
                <c:formatCode>General</c:formatCode>
                <c:ptCount val="19"/>
                <c:pt idx="0">
                  <c:v>100</c:v>
                </c:pt>
                <c:pt idx="1">
                  <c:v>99.85820982106756</c:v>
                </c:pt>
                <c:pt idx="2">
                  <c:v>99.29103558283735</c:v>
                </c:pt>
                <c:pt idx="3">
                  <c:v>99.53917346690679</c:v>
                </c:pt>
                <c:pt idx="5">
                  <c:v>99.22013711274602</c:v>
                </c:pt>
                <c:pt idx="6">
                  <c:v>99.18468787770034</c:v>
                </c:pt>
                <c:pt idx="7">
                  <c:v>99.36193405292869</c:v>
                </c:pt>
                <c:pt idx="8">
                  <c:v>99.50372423186113</c:v>
                </c:pt>
                <c:pt idx="9">
                  <c:v>99.85820982106756</c:v>
                </c:pt>
                <c:pt idx="10">
                  <c:v>100.0354492350457</c:v>
                </c:pt>
                <c:pt idx="11">
                  <c:v>100.6735219433672</c:v>
                </c:pt>
                <c:pt idx="12">
                  <c:v>100.6026234732759</c:v>
                </c:pt>
                <c:pt idx="13">
                  <c:v>100.6380727083215</c:v>
                </c:pt>
                <c:pt idx="14">
                  <c:v>100.9571090624823</c:v>
                </c:pt>
                <c:pt idx="15">
                  <c:v>100.9571090624823</c:v>
                </c:pt>
                <c:pt idx="16">
                  <c:v>101.5597325357582</c:v>
                </c:pt>
                <c:pt idx="17">
                  <c:v>101.7015294759409</c:v>
                </c:pt>
                <c:pt idx="18">
                  <c:v>101.4533915918715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Index (first day = 100)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5</xdr:col>
      <xdr:colOff>733425</xdr:colOff>
      <xdr:row>42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F75B5"/>
  </sheetPr>
  <dimension ref="A1:F25"/>
  <sheetViews>
    <sheetView tabSelected="1" workbookViewId="0">
      <pane ySplit="9" topLeftCell="A10" activePane="bottomLeft" state="frozen"/>
      <selection pane="bottomLeft"/>
    </sheetView>
  </sheetViews>
  <sheetFormatPr defaultRowHeight="15"/>
  <cols>
    <col min="1" max="1" width="23.7109375" customWidth="1"/>
    <col min="2" max="4" width="16.7109375" customWidth="1"/>
    <col min="5" max="5" width="23.7109375" customWidth="1"/>
    <col min="6" max="6" width="46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4" spans="1:6">
      <c r="A4" s="3" t="s">
        <v>2</v>
      </c>
      <c r="B4" s="3"/>
      <c r="C4" s="3"/>
      <c r="D4" s="3"/>
      <c r="E4" s="3"/>
      <c r="F4" s="3"/>
    </row>
    <row r="5" spans="1:6">
      <c r="A5" s="4" t="s">
        <v>3</v>
      </c>
      <c r="B5" s="4" t="s">
        <v>4</v>
      </c>
      <c r="C5" s="4" t="s">
        <v>5</v>
      </c>
      <c r="D5" s="4" t="s">
        <v>6</v>
      </c>
    </row>
    <row r="6" spans="1:6">
      <c r="A6" s="5">
        <v>0.01507700186536831</v>
      </c>
      <c r="B6" s="5">
        <v>0.003493250964203609</v>
      </c>
      <c r="C6" s="5">
        <v>0.04231663652174622</v>
      </c>
      <c r="D6" s="5">
        <v>-0.08996329579568541</v>
      </c>
    </row>
    <row r="8" spans="1:6">
      <c r="A8" s="3" t="s">
        <v>7</v>
      </c>
      <c r="B8" s="3"/>
      <c r="C8" s="3"/>
      <c r="D8" s="3"/>
      <c r="E8" s="3"/>
      <c r="F8" s="3"/>
    </row>
    <row r="9" spans="1:6">
      <c r="A9" s="6" t="s">
        <v>8</v>
      </c>
      <c r="B9" s="6" t="s">
        <v>9</v>
      </c>
      <c r="C9" s="6" t="s">
        <v>10</v>
      </c>
      <c r="D9" s="6" t="s">
        <v>11</v>
      </c>
      <c r="E9" s="6" t="s">
        <v>12</v>
      </c>
      <c r="F9" s="6" t="s">
        <v>13</v>
      </c>
    </row>
    <row r="10" spans="1:6">
      <c r="A10" t="s">
        <v>14</v>
      </c>
      <c r="B10" t="s">
        <v>15</v>
      </c>
      <c r="C10" s="7">
        <v>0.04231663652174622</v>
      </c>
      <c r="D10" s="8" t="s">
        <v>16</v>
      </c>
      <c r="E10" s="9" t="s">
        <v>17</v>
      </c>
      <c r="F10" s="9" t="s">
        <v>18</v>
      </c>
    </row>
    <row r="11" spans="1:6">
      <c r="A11" t="s">
        <v>19</v>
      </c>
      <c r="B11" t="s">
        <v>20</v>
      </c>
      <c r="C11" s="7">
        <v>-0.04151364249012079</v>
      </c>
      <c r="D11" s="10" t="s">
        <v>21</v>
      </c>
      <c r="E11" s="9" t="s">
        <v>22</v>
      </c>
      <c r="F11" s="9" t="s">
        <v>23</v>
      </c>
    </row>
    <row r="12" spans="1:6">
      <c r="A12" t="s">
        <v>24</v>
      </c>
      <c r="B12" t="s">
        <v>25</v>
      </c>
      <c r="C12" s="7">
        <v>0.003493250964203609</v>
      </c>
      <c r="D12" s="11" t="s">
        <v>26</v>
      </c>
      <c r="E12" s="9" t="s">
        <v>27</v>
      </c>
      <c r="F12" s="9" t="s">
        <v>28</v>
      </c>
    </row>
    <row r="13" spans="1:6">
      <c r="A13" t="s">
        <v>29</v>
      </c>
      <c r="B13" t="s">
        <v>30</v>
      </c>
      <c r="C13" s="7">
        <v>-0.002017894017489974</v>
      </c>
      <c r="D13" s="11" t="s">
        <v>26</v>
      </c>
      <c r="E13" s="9" t="s">
        <v>31</v>
      </c>
      <c r="F13" s="9" t="s">
        <v>28</v>
      </c>
    </row>
    <row r="14" spans="1:6">
      <c r="A14" t="s">
        <v>32</v>
      </c>
      <c r="B14" t="s">
        <v>33</v>
      </c>
      <c r="C14" s="7">
        <v>-0.02384024183357658</v>
      </c>
      <c r="D14" s="10" t="s">
        <v>21</v>
      </c>
      <c r="E14" s="9" t="s">
        <v>34</v>
      </c>
      <c r="F14" s="9" t="s">
        <v>23</v>
      </c>
    </row>
    <row r="15" spans="1:6">
      <c r="A15" t="s">
        <v>35</v>
      </c>
      <c r="B15" t="s">
        <v>36</v>
      </c>
      <c r="C15" s="7">
        <v>0.1283860368812615</v>
      </c>
      <c r="D15" s="8" t="s">
        <v>16</v>
      </c>
      <c r="E15" s="9" t="s">
        <v>37</v>
      </c>
      <c r="F15" s="9" t="s">
        <v>18</v>
      </c>
    </row>
    <row r="16" spans="1:6">
      <c r="A16" t="s">
        <v>38</v>
      </c>
      <c r="B16" t="s">
        <v>39</v>
      </c>
      <c r="C16" s="7">
        <v>0.01453391591871456</v>
      </c>
      <c r="D16" s="10" t="s">
        <v>21</v>
      </c>
      <c r="E16" s="9" t="s">
        <v>40</v>
      </c>
      <c r="F16" s="9" t="s">
        <v>23</v>
      </c>
    </row>
    <row r="17" spans="1:6">
      <c r="A17" t="s">
        <v>41</v>
      </c>
      <c r="B17" t="s">
        <v>42</v>
      </c>
      <c r="C17" s="7">
        <v>-0.008418390265634845</v>
      </c>
      <c r="D17" s="11" t="s">
        <v>26</v>
      </c>
      <c r="E17" s="9" t="s">
        <v>43</v>
      </c>
      <c r="F17" s="9" t="s">
        <v>28</v>
      </c>
    </row>
    <row r="18" spans="1:6">
      <c r="A18" t="s">
        <v>44</v>
      </c>
      <c r="B18" t="s">
        <v>45</v>
      </c>
      <c r="C18" s="7">
        <v>0.05198582858904044</v>
      </c>
      <c r="D18" s="10" t="s">
        <v>21</v>
      </c>
      <c r="E18" s="9" t="s">
        <v>46</v>
      </c>
      <c r="F18" s="9" t="s">
        <v>23</v>
      </c>
    </row>
    <row r="19" spans="1:6">
      <c r="A19" t="s">
        <v>47</v>
      </c>
      <c r="B19" t="s">
        <v>48</v>
      </c>
      <c r="C19" s="7">
        <v>-0.03114697650189435</v>
      </c>
      <c r="D19" s="10" t="s">
        <v>21</v>
      </c>
      <c r="E19" s="9" t="s">
        <v>49</v>
      </c>
      <c r="F19" s="9" t="s">
        <v>23</v>
      </c>
    </row>
    <row r="20" spans="1:6">
      <c r="A20" t="s">
        <v>50</v>
      </c>
      <c r="B20" t="s">
        <v>51</v>
      </c>
      <c r="C20" s="7">
        <v>0.08090075294734778</v>
      </c>
      <c r="D20" s="10" t="s">
        <v>21</v>
      </c>
      <c r="E20" s="9" t="s">
        <v>52</v>
      </c>
      <c r="F20" s="9" t="s">
        <v>23</v>
      </c>
    </row>
    <row r="21" spans="1:6">
      <c r="A21" t="s">
        <v>53</v>
      </c>
      <c r="B21" t="s">
        <v>54</v>
      </c>
      <c r="C21" s="7">
        <v>-0.08996329579568541</v>
      </c>
      <c r="D21" s="8" t="s">
        <v>16</v>
      </c>
      <c r="E21" s="9" t="s">
        <v>55</v>
      </c>
      <c r="F21" s="9" t="s">
        <v>18</v>
      </c>
    </row>
    <row r="24" spans="1:6">
      <c r="A24" s="9" t="s">
        <v>56</v>
      </c>
      <c r="B24" s="9"/>
      <c r="C24" s="9"/>
      <c r="D24" s="9"/>
      <c r="E24" s="9"/>
      <c r="F24" s="9"/>
    </row>
    <row r="25" spans="1:6">
      <c r="A25" s="9"/>
      <c r="B25" s="9"/>
      <c r="C25" s="9"/>
      <c r="D25" s="9"/>
      <c r="E25" s="9"/>
      <c r="F25" s="9"/>
    </row>
  </sheetData>
  <mergeCells count="5">
    <mergeCell ref="A1:F1"/>
    <mergeCell ref="A2:F2"/>
    <mergeCell ref="A4:F4"/>
    <mergeCell ref="A8:F8"/>
    <mergeCell ref="A24:F25"/>
  </mergeCells>
  <conditionalFormatting sqref="C10:C2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98754"/>
  </sheetPr>
  <dimension ref="A1:H2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2.7109375" customWidth="1"/>
    <col min="2" max="2" width="28.7109375" customWidth="1"/>
    <col min="3" max="7" width="15.7109375" customWidth="1"/>
    <col min="8" max="8" width="14.7109375" customWidth="1"/>
  </cols>
  <sheetData>
    <row r="1" spans="1:8">
      <c r="A1" s="1" t="s">
        <v>57</v>
      </c>
      <c r="B1" s="1"/>
      <c r="C1" s="1"/>
      <c r="D1" s="1"/>
      <c r="E1" s="1"/>
      <c r="F1" s="1"/>
      <c r="G1" s="1"/>
      <c r="H1" s="1"/>
    </row>
    <row r="2" spans="1:8">
      <c r="A2" s="2" t="s">
        <v>58</v>
      </c>
      <c r="B2" s="2"/>
      <c r="C2" s="2"/>
      <c r="D2" s="2"/>
      <c r="E2" s="2"/>
      <c r="F2" s="2"/>
      <c r="G2" s="2"/>
      <c r="H2" s="2"/>
    </row>
    <row r="4" spans="1:8">
      <c r="A4" s="6" t="s">
        <v>59</v>
      </c>
      <c r="B4" s="6" t="s">
        <v>60</v>
      </c>
      <c r="C4" s="6" t="s">
        <v>61</v>
      </c>
      <c r="D4" s="6" t="s">
        <v>62</v>
      </c>
      <c r="E4" s="6" t="s">
        <v>63</v>
      </c>
      <c r="F4" s="6" t="s">
        <v>64</v>
      </c>
      <c r="G4" s="6" t="s">
        <v>65</v>
      </c>
    </row>
    <row r="5" spans="1:8">
      <c r="A5" t="s">
        <v>66</v>
      </c>
      <c r="B5" t="s">
        <v>67</v>
      </c>
      <c r="C5" s="12">
        <v>499.9830932617188</v>
      </c>
      <c r="D5" s="12">
        <v>572.6799926757812</v>
      </c>
      <c r="E5" s="7">
        <v>0.1453987152641758</v>
      </c>
      <c r="F5" s="7">
        <v>-0.06503759273335352</v>
      </c>
      <c r="G5" s="13">
        <v>18</v>
      </c>
    </row>
    <row r="6" spans="1:8">
      <c r="A6" t="s">
        <v>51</v>
      </c>
      <c r="B6" t="s">
        <v>68</v>
      </c>
      <c r="C6" s="13">
        <v>4.796000003814697</v>
      </c>
      <c r="D6" s="13">
        <v>5.184000015258789</v>
      </c>
      <c r="E6" s="7">
        <v>0.08090075294734778</v>
      </c>
      <c r="F6" s="7">
        <v>-0.01178585992094183</v>
      </c>
      <c r="G6" s="13">
        <v>18</v>
      </c>
    </row>
    <row r="7" spans="1:8">
      <c r="A7" t="s">
        <v>45</v>
      </c>
      <c r="B7" t="s">
        <v>69</v>
      </c>
      <c r="C7" s="12">
        <v>141</v>
      </c>
      <c r="D7" s="12">
        <v>148.3300018310547</v>
      </c>
      <c r="E7" s="7">
        <v>0.05198582858904044</v>
      </c>
      <c r="F7" s="7">
        <v>-0.1098480088487024</v>
      </c>
      <c r="G7" s="13">
        <v>18</v>
      </c>
    </row>
    <row r="8" spans="1:8">
      <c r="A8" t="s">
        <v>70</v>
      </c>
      <c r="B8" t="s">
        <v>71</v>
      </c>
      <c r="C8" s="12">
        <v>66.76999664306641</v>
      </c>
      <c r="D8" s="12">
        <v>67.98000335693359</v>
      </c>
      <c r="E8" s="7">
        <v>0.01812201250114698</v>
      </c>
      <c r="F8" s="7">
        <v>-0.04518379380528204</v>
      </c>
      <c r="G8" s="13">
        <v>18</v>
      </c>
    </row>
    <row r="9" spans="1:8">
      <c r="A9" t="s">
        <v>72</v>
      </c>
      <c r="B9" t="s">
        <v>3</v>
      </c>
      <c r="C9" s="12">
        <v>759.89306640625</v>
      </c>
      <c r="D9" s="12">
        <v>771.3499755859375</v>
      </c>
      <c r="E9" s="7">
        <v>0.01507700186536831</v>
      </c>
      <c r="F9" s="7">
        <v>-0.02472935182691627</v>
      </c>
      <c r="G9" s="13">
        <v>18</v>
      </c>
    </row>
    <row r="10" spans="1:8">
      <c r="A10" t="s">
        <v>39</v>
      </c>
      <c r="B10" t="s">
        <v>73</v>
      </c>
      <c r="C10" s="12">
        <v>28.20999908447266</v>
      </c>
      <c r="D10" s="12">
        <v>28.6200008392334</v>
      </c>
      <c r="E10" s="7">
        <v>0.01453391591871456</v>
      </c>
      <c r="F10" s="7">
        <v>-0.008153121222996607</v>
      </c>
      <c r="G10" s="13">
        <v>18</v>
      </c>
    </row>
    <row r="11" spans="1:8">
      <c r="A11" t="s">
        <v>42</v>
      </c>
      <c r="B11" t="s">
        <v>74</v>
      </c>
      <c r="C11" s="12">
        <v>396.75</v>
      </c>
      <c r="D11" s="12">
        <v>393.4100036621094</v>
      </c>
      <c r="E11" s="7">
        <v>-0.008418390265634845</v>
      </c>
      <c r="F11" s="7">
        <v>-0.04517088080580334</v>
      </c>
      <c r="G11" s="13">
        <v>18</v>
      </c>
    </row>
    <row r="12" spans="1:8">
      <c r="A12" t="s">
        <v>75</v>
      </c>
      <c r="B12" t="s">
        <v>76</v>
      </c>
      <c r="C12" s="12">
        <v>106.4899978637695</v>
      </c>
      <c r="D12" s="12">
        <v>105.5599975585938</v>
      </c>
      <c r="E12" s="7">
        <v>-0.008733217427288498</v>
      </c>
      <c r="F12" s="7">
        <v>-0.03553298134139471</v>
      </c>
      <c r="G12" s="13">
        <v>18</v>
      </c>
    </row>
    <row r="13" spans="1:8">
      <c r="A13" t="s">
        <v>77</v>
      </c>
      <c r="B13" t="s">
        <v>78</v>
      </c>
      <c r="C13" s="12">
        <v>72.208740234375</v>
      </c>
      <c r="D13" s="12">
        <v>71.55000305175781</v>
      </c>
      <c r="E13" s="7">
        <v>-0.009122679338803841</v>
      </c>
      <c r="F13" s="7">
        <v>-0.05964066770391641</v>
      </c>
      <c r="G13" s="13">
        <v>18</v>
      </c>
    </row>
    <row r="14" spans="1:8">
      <c r="A14" t="s">
        <v>79</v>
      </c>
      <c r="B14" t="s">
        <v>80</v>
      </c>
      <c r="C14" s="12">
        <v>79.09999847412109</v>
      </c>
      <c r="D14" s="12">
        <v>77.86000061035156</v>
      </c>
      <c r="E14" s="7">
        <v>-0.01567633233488896</v>
      </c>
      <c r="F14" s="7">
        <v>-0.01704328354658102</v>
      </c>
      <c r="G14" s="13">
        <v>18</v>
      </c>
    </row>
    <row r="15" spans="1:8">
      <c r="A15" t="s">
        <v>81</v>
      </c>
      <c r="B15" t="s">
        <v>82</v>
      </c>
      <c r="C15" s="12">
        <v>105.2200012207031</v>
      </c>
      <c r="D15" s="12">
        <v>103.2099990844727</v>
      </c>
      <c r="E15" s="7">
        <v>-0.01910285224207908</v>
      </c>
      <c r="F15" s="7">
        <v>-0.02227486705328052</v>
      </c>
      <c r="G15" s="13">
        <v>18</v>
      </c>
    </row>
    <row r="16" spans="1:8">
      <c r="A16" t="s">
        <v>83</v>
      </c>
      <c r="B16" t="s">
        <v>84</v>
      </c>
      <c r="C16" s="12">
        <v>92.09999847412109</v>
      </c>
      <c r="D16" s="12">
        <v>90</v>
      </c>
      <c r="E16" s="7">
        <v>-0.02280128674172743</v>
      </c>
      <c r="F16" s="7">
        <v>-0.0280667140458577</v>
      </c>
      <c r="G16" s="13">
        <v>18</v>
      </c>
    </row>
    <row r="17" spans="1:7">
      <c r="A17" t="s">
        <v>85</v>
      </c>
      <c r="B17" t="s">
        <v>86</v>
      </c>
      <c r="C17" s="12">
        <v>216.775146484375</v>
      </c>
      <c r="D17" s="12">
        <v>211.1100006103516</v>
      </c>
      <c r="E17" s="7">
        <v>-0.02613374257104595</v>
      </c>
      <c r="F17" s="7">
        <v>-0.04089818253268851</v>
      </c>
      <c r="G17" s="13">
        <v>18</v>
      </c>
    </row>
    <row r="18" spans="1:7">
      <c r="A18" t="s">
        <v>87</v>
      </c>
      <c r="B18" t="s">
        <v>88</v>
      </c>
      <c r="C18" s="12">
        <v>289.8130798339844</v>
      </c>
      <c r="D18" s="12">
        <v>281.9700012207031</v>
      </c>
      <c r="E18" s="7">
        <v>-0.02706254189001422</v>
      </c>
      <c r="F18" s="7">
        <v>-0.04599298208910141</v>
      </c>
      <c r="G18" s="13">
        <v>18</v>
      </c>
    </row>
    <row r="19" spans="1:7">
      <c r="A19" t="s">
        <v>89</v>
      </c>
      <c r="B19" t="s">
        <v>90</v>
      </c>
      <c r="C19" s="12">
        <v>84.6929931640625</v>
      </c>
      <c r="D19" s="12">
        <v>82.05999755859375</v>
      </c>
      <c r="E19" s="7">
        <v>-0.03108870648092765</v>
      </c>
      <c r="F19" s="7">
        <v>-0.03849734317170883</v>
      </c>
      <c r="G19" s="13">
        <v>18</v>
      </c>
    </row>
    <row r="20" spans="1:7">
      <c r="A20" t="s">
        <v>48</v>
      </c>
      <c r="B20" t="s">
        <v>91</v>
      </c>
      <c r="C20" s="12">
        <v>81.87000274658203</v>
      </c>
      <c r="D20" s="12">
        <v>79.31999969482422</v>
      </c>
      <c r="E20" s="7">
        <v>-0.03114697650189435</v>
      </c>
      <c r="F20" s="7">
        <v>-0.03515386719173774</v>
      </c>
      <c r="G20" s="13">
        <v>18</v>
      </c>
    </row>
    <row r="21" spans="1:7">
      <c r="A21" t="s">
        <v>92</v>
      </c>
      <c r="B21" t="s">
        <v>93</v>
      </c>
      <c r="C21" s="12">
        <v>114.3381729125977</v>
      </c>
      <c r="D21" s="12">
        <v>110.5599975585938</v>
      </c>
      <c r="E21" s="7">
        <v>-0.03304386678359827</v>
      </c>
      <c r="F21" s="7">
        <v>-0.05392407993671366</v>
      </c>
      <c r="G21" s="13">
        <v>18</v>
      </c>
    </row>
    <row r="22" spans="1:7">
      <c r="A22" t="s">
        <v>94</v>
      </c>
      <c r="B22" t="s">
        <v>95</v>
      </c>
      <c r="C22" s="12">
        <v>91.25</v>
      </c>
      <c r="D22" s="12">
        <v>87.83999633789062</v>
      </c>
      <c r="E22" s="7">
        <v>-0.03736990314640409</v>
      </c>
      <c r="F22" s="7">
        <v>-0.1898500369950561</v>
      </c>
      <c r="G22" s="13">
        <v>18</v>
      </c>
    </row>
    <row r="23" spans="1:7">
      <c r="A23" t="s">
        <v>54</v>
      </c>
      <c r="B23" t="s">
        <v>96</v>
      </c>
      <c r="C23" s="12">
        <v>16.34000015258789</v>
      </c>
      <c r="D23" s="12">
        <v>14.86999988555908</v>
      </c>
      <c r="E23" s="7">
        <v>-0.08996329579568541</v>
      </c>
      <c r="F23" s="7">
        <v>-0.203475340997368</v>
      </c>
      <c r="G23" s="13">
        <v>19</v>
      </c>
    </row>
  </sheetData>
  <autoFilter ref="A4:G23"/>
  <mergeCells count="2">
    <mergeCell ref="A1:H1"/>
    <mergeCell ref="A2:H2"/>
  </mergeCells>
  <conditionalFormatting sqref="E5:E2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5:F2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AD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0" width="13.7109375" customWidth="1"/>
  </cols>
  <sheetData>
    <row r="1" spans="1:30">
      <c r="A1" s="6" t="s">
        <v>97</v>
      </c>
      <c r="B1" s="6" t="s">
        <v>72</v>
      </c>
      <c r="C1" s="6" t="s">
        <v>85</v>
      </c>
      <c r="D1" s="6" t="s">
        <v>87</v>
      </c>
      <c r="E1" s="6" t="s">
        <v>54</v>
      </c>
      <c r="F1" s="6" t="s">
        <v>94</v>
      </c>
      <c r="G1" s="6" t="s">
        <v>42</v>
      </c>
      <c r="H1" s="6" t="s">
        <v>79</v>
      </c>
      <c r="I1" s="6" t="s">
        <v>81</v>
      </c>
      <c r="J1" s="6" t="s">
        <v>48</v>
      </c>
      <c r="K1" s="6" t="s">
        <v>83</v>
      </c>
      <c r="L1" s="6" t="s">
        <v>39</v>
      </c>
      <c r="M1" s="6" t="s">
        <v>75</v>
      </c>
      <c r="N1" s="6" t="s">
        <v>70</v>
      </c>
      <c r="O1" s="6" t="s">
        <v>77</v>
      </c>
      <c r="P1" s="6" t="s">
        <v>92</v>
      </c>
      <c r="Q1" s="6" t="s">
        <v>89</v>
      </c>
      <c r="R1" s="6" t="s">
        <v>66</v>
      </c>
      <c r="S1" s="6" t="s">
        <v>45</v>
      </c>
      <c r="T1" s="6" t="s">
        <v>51</v>
      </c>
      <c r="W1" s="6" t="s">
        <v>97</v>
      </c>
      <c r="X1" s="6" t="s">
        <v>72</v>
      </c>
      <c r="Y1" s="6" t="s">
        <v>85</v>
      </c>
      <c r="Z1" s="6" t="s">
        <v>87</v>
      </c>
      <c r="AA1" s="6" t="s">
        <v>79</v>
      </c>
      <c r="AB1" s="6" t="s">
        <v>48</v>
      </c>
      <c r="AC1" s="6" t="s">
        <v>42</v>
      </c>
      <c r="AD1" s="6" t="s">
        <v>39</v>
      </c>
    </row>
    <row r="2" spans="1:30">
      <c r="A2" s="14">
        <v>46266</v>
      </c>
      <c r="B2" s="13">
        <v>759.89306640625</v>
      </c>
      <c r="C2" s="13">
        <v>216.775146484375</v>
      </c>
      <c r="D2" s="13">
        <v>289.8130798339844</v>
      </c>
      <c r="E2" s="13">
        <v>16.34000015258789</v>
      </c>
      <c r="F2" s="13">
        <v>91.25</v>
      </c>
      <c r="G2" s="13">
        <v>396.75</v>
      </c>
      <c r="H2" s="13">
        <v>79.09999847412109</v>
      </c>
      <c r="I2" s="13">
        <v>105.2200012207031</v>
      </c>
      <c r="J2" s="13">
        <v>81.87000274658203</v>
      </c>
      <c r="K2" s="13">
        <v>92.09999847412109</v>
      </c>
      <c r="L2" s="13">
        <v>28.20999908447266</v>
      </c>
      <c r="M2" s="13">
        <v>106.4899978637695</v>
      </c>
      <c r="N2" s="13">
        <v>66.76999664306641</v>
      </c>
      <c r="O2" s="13">
        <v>72.208740234375</v>
      </c>
      <c r="P2" s="13">
        <v>114.3381729125977</v>
      </c>
      <c r="Q2" s="13">
        <v>84.6929931640625</v>
      </c>
      <c r="R2" s="13">
        <v>499.9830932617188</v>
      </c>
      <c r="S2" s="13">
        <v>141</v>
      </c>
      <c r="T2" s="13">
        <v>4.796000003814697</v>
      </c>
      <c r="W2" s="14">
        <v>46266</v>
      </c>
      <c r="X2" s="13">
        <v>100</v>
      </c>
      <c r="Y2" s="13">
        <v>100</v>
      </c>
      <c r="Z2" s="13">
        <v>100</v>
      </c>
      <c r="AA2" s="13">
        <v>100</v>
      </c>
      <c r="AB2" s="13">
        <v>100</v>
      </c>
      <c r="AC2" s="13">
        <v>100</v>
      </c>
      <c r="AD2" s="13">
        <v>100</v>
      </c>
    </row>
    <row r="3" spans="1:30">
      <c r="A3" s="14">
        <v>46267</v>
      </c>
      <c r="B3" s="13">
        <v>763.2646484375</v>
      </c>
      <c r="C3" s="13">
        <v>217.7813720703125</v>
      </c>
      <c r="D3" s="13">
        <v>293.2441101074219</v>
      </c>
      <c r="E3" s="13">
        <v>15.19999980926514</v>
      </c>
      <c r="F3" s="13">
        <v>86.25</v>
      </c>
      <c r="G3" s="13">
        <v>402.7799987792969</v>
      </c>
      <c r="H3" s="13">
        <v>79.11000061035156</v>
      </c>
      <c r="I3" s="13">
        <v>105.3499984741211</v>
      </c>
      <c r="J3" s="13">
        <v>81.94999694824219</v>
      </c>
      <c r="K3" s="13">
        <v>92.18000030517578</v>
      </c>
      <c r="L3" s="13">
        <v>28.17000007629395</v>
      </c>
      <c r="M3" s="13">
        <v>107.0599975585938</v>
      </c>
      <c r="N3" s="13">
        <v>67.15000152587891</v>
      </c>
      <c r="O3" s="13">
        <v>73.81955718994141</v>
      </c>
      <c r="P3" s="13">
        <v>114.6075820922852</v>
      </c>
      <c r="Q3" s="13">
        <v>84.97116088867188</v>
      </c>
      <c r="R3" s="13">
        <v>501.1123657226562</v>
      </c>
      <c r="S3" s="13">
        <v>141.1499938964844</v>
      </c>
      <c r="T3" s="13">
        <v>4.796000003814697</v>
      </c>
      <c r="W3" s="14">
        <v>46267</v>
      </c>
      <c r="X3" s="13">
        <v>100.4436916429828</v>
      </c>
      <c r="Y3" s="13">
        <v>100.4641794053683</v>
      </c>
      <c r="Z3" s="13">
        <v>101.1838769580044</v>
      </c>
      <c r="AA3" s="13">
        <v>100.0126449259462</v>
      </c>
      <c r="AB3" s="13">
        <v>100.0977088053945</v>
      </c>
      <c r="AC3" s="13">
        <v>101.5198484635909</v>
      </c>
      <c r="AD3" s="13">
        <v>99.85820982106756</v>
      </c>
    </row>
    <row r="4" spans="1:30">
      <c r="A4" s="14">
        <v>46268</v>
      </c>
      <c r="B4" s="13">
        <v>771.2548217773438</v>
      </c>
      <c r="C4" s="13">
        <v>219.2259368896484</v>
      </c>
      <c r="D4" s="13">
        <v>294.4210510253906</v>
      </c>
      <c r="E4" s="13">
        <v>14.31999969482422</v>
      </c>
      <c r="F4" s="13">
        <v>83.80000305175781</v>
      </c>
      <c r="G4" s="13">
        <v>410.2200012207031</v>
      </c>
      <c r="H4" s="13">
        <v>79.20999908447266</v>
      </c>
      <c r="I4" s="13">
        <v>105.5</v>
      </c>
      <c r="J4" s="13">
        <v>82.06999969482422</v>
      </c>
      <c r="K4" s="13">
        <v>92.27999877929688</v>
      </c>
      <c r="L4" s="13">
        <v>28.01000022888184</v>
      </c>
      <c r="M4" s="13">
        <v>108.2099990844727</v>
      </c>
      <c r="N4" s="13">
        <v>67.47000122070312</v>
      </c>
      <c r="O4" s="13">
        <v>74.44599914550781</v>
      </c>
      <c r="P4" s="13">
        <v>116.2040634155273</v>
      </c>
      <c r="Q4" s="13">
        <v>84.70292663574219</v>
      </c>
      <c r="R4" s="13">
        <v>501.8718872070312</v>
      </c>
      <c r="S4" s="13">
        <v>142.0899963378906</v>
      </c>
      <c r="T4" s="13">
        <v>4.76200008392334</v>
      </c>
      <c r="W4" s="14">
        <v>46268</v>
      </c>
      <c r="X4" s="13">
        <v>101.4951781866923</v>
      </c>
      <c r="Y4" s="13">
        <v>101.1305679848543</v>
      </c>
      <c r="Z4" s="13">
        <v>101.5899804087676</v>
      </c>
      <c r="AA4" s="13">
        <v>100.1390652496505</v>
      </c>
      <c r="AB4" s="13">
        <v>100.2442859918562</v>
      </c>
      <c r="AC4" s="13">
        <v>103.3950853738382</v>
      </c>
      <c r="AD4" s="13">
        <v>99.29103558283735</v>
      </c>
    </row>
    <row r="5" spans="1:30">
      <c r="A5" s="14">
        <v>46269</v>
      </c>
      <c r="B5" s="13">
        <v>768.2822265625</v>
      </c>
      <c r="C5" s="13">
        <v>218.1798706054688</v>
      </c>
      <c r="D5" s="13">
        <v>295.2389221191406</v>
      </c>
      <c r="E5" s="13">
        <v>14.52999973297119</v>
      </c>
      <c r="F5" s="13">
        <v>84.41999816894531</v>
      </c>
      <c r="G5" s="13">
        <v>406.7699890136719</v>
      </c>
      <c r="H5" s="13">
        <v>79.16000366210938</v>
      </c>
      <c r="I5" s="13">
        <v>105.4800033569336</v>
      </c>
      <c r="J5" s="13">
        <v>82.20999908447266</v>
      </c>
      <c r="K5" s="13">
        <v>92.25</v>
      </c>
      <c r="L5" s="13">
        <v>28.07999992370605</v>
      </c>
      <c r="M5" s="13">
        <v>108.3499984741211</v>
      </c>
      <c r="N5" s="13">
        <v>68.69999694824219</v>
      </c>
      <c r="O5" s="13">
        <v>74.84372711181641</v>
      </c>
      <c r="P5" s="13">
        <v>114.6574783325195</v>
      </c>
      <c r="Q5" s="13">
        <v>84.02737426757812</v>
      </c>
      <c r="R5" s="13">
        <v>519.5203247070312</v>
      </c>
      <c r="S5" s="13">
        <v>141.9600067138672</v>
      </c>
      <c r="T5" s="13">
        <v>4.783999919891357</v>
      </c>
      <c r="W5" s="14">
        <v>46269</v>
      </c>
      <c r="X5" s="13">
        <v>101.1039921966817</v>
      </c>
      <c r="Y5" s="13">
        <v>100.6480097667446</v>
      </c>
      <c r="Z5" s="13">
        <v>101.8721868206447</v>
      </c>
      <c r="AA5" s="13">
        <v>100.0758599104245</v>
      </c>
      <c r="AB5" s="13">
        <v>100.4152880499382</v>
      </c>
      <c r="AC5" s="13">
        <v>102.5255170796905</v>
      </c>
      <c r="AD5" s="13">
        <v>99.53917346690679</v>
      </c>
    </row>
    <row r="6" spans="1:30">
      <c r="A6" s="14">
        <v>46272</v>
      </c>
      <c r="E6" s="13">
        <v>15.30000019073486</v>
      </c>
      <c r="W6" s="14">
        <v>46272</v>
      </c>
    </row>
    <row r="7" spans="1:30">
      <c r="A7" s="14">
        <v>46273</v>
      </c>
      <c r="B7" s="13">
        <v>764.0626831054688</v>
      </c>
      <c r="C7" s="13">
        <v>215.9183654785156</v>
      </c>
      <c r="D7" s="13">
        <v>293.9024047851562</v>
      </c>
      <c r="E7" s="13">
        <v>15.72000026702881</v>
      </c>
      <c r="F7" s="13">
        <v>88.69000244140625</v>
      </c>
      <c r="G7" s="13">
        <v>399.7200012207031</v>
      </c>
      <c r="H7" s="13">
        <v>79.12000274658203</v>
      </c>
      <c r="I7" s="13">
        <v>105.4800033569336</v>
      </c>
      <c r="J7" s="13">
        <v>82.19999694824219</v>
      </c>
      <c r="K7" s="13">
        <v>92.16000366210938</v>
      </c>
      <c r="L7" s="13">
        <v>27.98999977111816</v>
      </c>
      <c r="M7" s="13">
        <v>107.7600021362305</v>
      </c>
      <c r="N7" s="13">
        <v>68.83000183105469</v>
      </c>
      <c r="O7" s="13">
        <v>73.88916778564453</v>
      </c>
      <c r="P7" s="13">
        <v>113.7394943237305</v>
      </c>
      <c r="Q7" s="13">
        <v>83.47102355957031</v>
      </c>
      <c r="R7" s="13">
        <v>528.0547485351562</v>
      </c>
      <c r="S7" s="13">
        <v>146.0299987792969</v>
      </c>
      <c r="T7" s="13">
        <v>4.806000232696533</v>
      </c>
      <c r="W7" s="14">
        <v>46273</v>
      </c>
      <c r="X7" s="13">
        <v>100.5487109809987</v>
      </c>
      <c r="Y7" s="13">
        <v>99.60476049964467</v>
      </c>
      <c r="Z7" s="13">
        <v>101.4110215292955</v>
      </c>
      <c r="AA7" s="13">
        <v>100.0252898518923</v>
      </c>
      <c r="AB7" s="13">
        <v>100.4030709546714</v>
      </c>
      <c r="AC7" s="13">
        <v>100.7485825382995</v>
      </c>
      <c r="AD7" s="13">
        <v>99.22013711274602</v>
      </c>
    </row>
    <row r="8" spans="1:30">
      <c r="A8" s="14">
        <v>46274</v>
      </c>
      <c r="B8" s="13">
        <v>760.5115356445312</v>
      </c>
      <c r="C8" s="13">
        <v>213.8361968994141</v>
      </c>
      <c r="D8" s="13">
        <v>289.8829040527344</v>
      </c>
      <c r="E8" s="13">
        <v>16.45999908447266</v>
      </c>
      <c r="F8" s="13">
        <v>94.5</v>
      </c>
      <c r="G8" s="13">
        <v>403.3500061035156</v>
      </c>
      <c r="H8" s="13">
        <v>78.98000335693359</v>
      </c>
      <c r="I8" s="13">
        <v>105.3099975585938</v>
      </c>
      <c r="J8" s="13">
        <v>81.73000335693359</v>
      </c>
      <c r="K8" s="13">
        <v>91.90000152587891</v>
      </c>
      <c r="L8" s="13">
        <v>27.97999954223633</v>
      </c>
      <c r="M8" s="13">
        <v>106.5599975585938</v>
      </c>
      <c r="N8" s="13">
        <v>68.48000335693359</v>
      </c>
      <c r="O8" s="13">
        <v>73.03403472900391</v>
      </c>
      <c r="P8" s="13">
        <v>112.2128524780273</v>
      </c>
      <c r="Q8" s="13">
        <v>82.50736999511719</v>
      </c>
      <c r="R8" s="13">
        <v>531.6524047851562</v>
      </c>
      <c r="S8" s="13">
        <v>149.9700012207031</v>
      </c>
      <c r="T8" s="13">
        <v>4.836999893188477</v>
      </c>
      <c r="W8" s="14">
        <v>46274</v>
      </c>
      <c r="X8" s="13">
        <v>100.0813889829534</v>
      </c>
      <c r="Y8" s="13">
        <v>98.64424052635906</v>
      </c>
      <c r="Z8" s="13">
        <v>100.0240928459095</v>
      </c>
      <c r="AA8" s="13">
        <v>99.8482994696558</v>
      </c>
      <c r="AB8" s="13">
        <v>99.828997941918</v>
      </c>
      <c r="AC8" s="13">
        <v>101.6635176064312</v>
      </c>
      <c r="AD8" s="13">
        <v>99.18468787770034</v>
      </c>
    </row>
    <row r="9" spans="1:30">
      <c r="A9" s="14">
        <v>46275</v>
      </c>
      <c r="B9" s="13">
        <v>755.9528198242188</v>
      </c>
      <c r="C9" s="13">
        <v>212.3717041015625</v>
      </c>
      <c r="D9" s="13">
        <v>286.9505615234375</v>
      </c>
      <c r="E9" s="13">
        <v>17.84000015258789</v>
      </c>
      <c r="F9" s="13">
        <v>102.6600036621094</v>
      </c>
      <c r="G9" s="13">
        <v>396.3599853515625</v>
      </c>
      <c r="H9" s="13">
        <v>78.62000274658203</v>
      </c>
      <c r="I9" s="13">
        <v>104.3600006103516</v>
      </c>
      <c r="J9" s="13">
        <v>80.77999877929688</v>
      </c>
      <c r="K9" s="13">
        <v>91.18000030517578</v>
      </c>
      <c r="L9" s="13">
        <v>28.03000068664551</v>
      </c>
      <c r="M9" s="13">
        <v>105.6600036621094</v>
      </c>
      <c r="N9" s="13">
        <v>67</v>
      </c>
      <c r="O9" s="13">
        <v>73.39199829101562</v>
      </c>
      <c r="P9" s="13">
        <v>111.7139511108398</v>
      </c>
      <c r="Q9" s="13">
        <v>82.54710388183594</v>
      </c>
      <c r="R9" s="13">
        <v>517.0919189453125</v>
      </c>
      <c r="S9" s="13">
        <v>158.3800048828125</v>
      </c>
      <c r="T9" s="13">
        <v>4.943999767303467</v>
      </c>
      <c r="W9" s="14">
        <v>46275</v>
      </c>
      <c r="X9" s="13">
        <v>99.48147354460465</v>
      </c>
      <c r="Y9" s="13">
        <v>97.96865902100549</v>
      </c>
      <c r="Z9" s="13">
        <v>99.01228808852015</v>
      </c>
      <c r="AA9" s="13">
        <v>99.3931785881183</v>
      </c>
      <c r="AB9" s="13">
        <v>98.66861618331794</v>
      </c>
      <c r="AC9" s="13">
        <v>99.90169763114368</v>
      </c>
      <c r="AD9" s="13">
        <v>99.36193405292869</v>
      </c>
    </row>
    <row r="10" spans="1:30">
      <c r="A10" s="14">
        <v>46276</v>
      </c>
      <c r="B10" s="13">
        <v>762.3967895507812</v>
      </c>
      <c r="C10" s="13">
        <v>214.0653228759766</v>
      </c>
      <c r="D10" s="13">
        <v>288.1374816894531</v>
      </c>
      <c r="E10" s="13">
        <v>15.84000015258789</v>
      </c>
      <c r="F10" s="13">
        <v>91.27999877929688</v>
      </c>
      <c r="G10" s="13">
        <v>398.7699890136719</v>
      </c>
      <c r="H10" s="13">
        <v>78.59999847412109</v>
      </c>
      <c r="I10" s="13">
        <v>104.3199996948242</v>
      </c>
      <c r="J10" s="13">
        <v>80.87000274658203</v>
      </c>
      <c r="K10" s="13">
        <v>91.01000213623047</v>
      </c>
      <c r="L10" s="13">
        <v>28.06999969482422</v>
      </c>
      <c r="M10" s="13">
        <v>106.6999969482422</v>
      </c>
      <c r="N10" s="13">
        <v>67.83999633789062</v>
      </c>
      <c r="O10" s="13">
        <v>73.48149108886719</v>
      </c>
      <c r="P10" s="13">
        <v>112.7117538452148</v>
      </c>
      <c r="Q10" s="13">
        <v>82.83521270751953</v>
      </c>
      <c r="R10" s="13">
        <v>526.7256469726562</v>
      </c>
      <c r="S10" s="13">
        <v>154.8999938964844</v>
      </c>
      <c r="T10" s="13">
        <v>4.974999904632568</v>
      </c>
      <c r="W10" s="14">
        <v>46276</v>
      </c>
      <c r="X10" s="13">
        <v>100.3294836148949</v>
      </c>
      <c r="Y10" s="13">
        <v>98.7499380568548</v>
      </c>
      <c r="Z10" s="13">
        <v>99.42183487871179</v>
      </c>
      <c r="AA10" s="13">
        <v>99.36788873622598</v>
      </c>
      <c r="AB10" s="13">
        <v>98.7785514028925</v>
      </c>
      <c r="AC10" s="13">
        <v>100.509133966899</v>
      </c>
      <c r="AD10" s="13">
        <v>99.50372423186113</v>
      </c>
    </row>
    <row r="11" spans="1:30">
      <c r="A11" s="14">
        <v>46279</v>
      </c>
      <c r="B11" s="13">
        <v>758.9952392578125</v>
      </c>
      <c r="C11" s="13">
        <v>214.2048034667969</v>
      </c>
      <c r="D11" s="13">
        <v>287.1600036621094</v>
      </c>
      <c r="E11" s="13">
        <v>17.10000038146973</v>
      </c>
      <c r="F11" s="13">
        <v>94.88999938964844</v>
      </c>
      <c r="G11" s="13">
        <v>392.8399963378906</v>
      </c>
      <c r="H11" s="13">
        <v>78.52999877929688</v>
      </c>
      <c r="I11" s="13">
        <v>104.3000030517578</v>
      </c>
      <c r="J11" s="13">
        <v>80.93000030517578</v>
      </c>
      <c r="K11" s="13">
        <v>90.93000030517578</v>
      </c>
      <c r="L11" s="13">
        <v>28.17000007629395</v>
      </c>
      <c r="M11" s="13">
        <v>105.8499984741211</v>
      </c>
      <c r="N11" s="13">
        <v>65.98999786376953</v>
      </c>
      <c r="O11" s="13">
        <v>73.69029998779297</v>
      </c>
      <c r="P11" s="13">
        <v>112.6019973754883</v>
      </c>
      <c r="Q11" s="13">
        <v>83.86841583251953</v>
      </c>
      <c r="R11" s="13">
        <v>497.0750122070312</v>
      </c>
      <c r="S11" s="13">
        <v>156.6600036621094</v>
      </c>
      <c r="T11" s="13">
        <v>4.960999965667725</v>
      </c>
      <c r="W11" s="14">
        <v>46279</v>
      </c>
      <c r="X11" s="13">
        <v>99.88184822468725</v>
      </c>
      <c r="Y11" s="13">
        <v>98.81428149893402</v>
      </c>
      <c r="Z11" s="13">
        <v>99.08455609615868</v>
      </c>
      <c r="AA11" s="13">
        <v>99.27939354510771</v>
      </c>
      <c r="AB11" s="13">
        <v>98.85183533666671</v>
      </c>
      <c r="AC11" s="13">
        <v>99.01449183059626</v>
      </c>
      <c r="AD11" s="13">
        <v>99.85820982106756</v>
      </c>
    </row>
    <row r="12" spans="1:30">
      <c r="A12" s="14">
        <v>46280</v>
      </c>
      <c r="B12" s="13">
        <v>755.513916015625</v>
      </c>
      <c r="C12" s="13">
        <v>213.1587524414062</v>
      </c>
      <c r="D12" s="13">
        <v>285.1400146484375</v>
      </c>
      <c r="E12" s="13">
        <v>17.20000076293945</v>
      </c>
      <c r="F12" s="13">
        <v>94.91000366210938</v>
      </c>
      <c r="G12" s="13">
        <v>394.1499938964844</v>
      </c>
      <c r="H12" s="13">
        <v>78.37999725341797</v>
      </c>
      <c r="I12" s="13">
        <v>104.2799987792969</v>
      </c>
      <c r="J12" s="13">
        <v>80.70999908447266</v>
      </c>
      <c r="K12" s="13">
        <v>90.81999969482422</v>
      </c>
      <c r="L12" s="13">
        <v>28.21999931335449</v>
      </c>
      <c r="M12" s="13">
        <v>105.4000015258789</v>
      </c>
      <c r="N12" s="13">
        <v>65.76000213623047</v>
      </c>
      <c r="O12" s="13">
        <v>73.63063812255859</v>
      </c>
      <c r="P12" s="13">
        <v>110.6363220214844</v>
      </c>
      <c r="Q12" s="13">
        <v>83.18292999267578</v>
      </c>
      <c r="R12" s="13">
        <v>498.8500061035156</v>
      </c>
      <c r="S12" s="13">
        <v>161.8600006103516</v>
      </c>
      <c r="T12" s="13">
        <v>4.995999813079834</v>
      </c>
      <c r="W12" s="14">
        <v>46280</v>
      </c>
      <c r="X12" s="13">
        <v>99.42371491671385</v>
      </c>
      <c r="Y12" s="13">
        <v>98.33173031981809</v>
      </c>
      <c r="Z12" s="13">
        <v>98.38755890927222</v>
      </c>
      <c r="AA12" s="13">
        <v>99.08975823692502</v>
      </c>
      <c r="AB12" s="13">
        <v>98.58311515427694</v>
      </c>
      <c r="AC12" s="13">
        <v>99.34467394996456</v>
      </c>
      <c r="AD12" s="13">
        <v>100.0354492350457</v>
      </c>
    </row>
    <row r="13" spans="1:30">
      <c r="A13" s="14">
        <v>46281</v>
      </c>
      <c r="B13" s="13">
        <v>752.1821899414062</v>
      </c>
      <c r="C13" s="13">
        <v>211.4850311279297</v>
      </c>
      <c r="D13" s="13">
        <v>283.9200134277344</v>
      </c>
      <c r="E13" s="13">
        <v>17.70999908447266</v>
      </c>
      <c r="F13" s="13">
        <v>95.41000366210938</v>
      </c>
      <c r="G13" s="13">
        <v>391.739990234375</v>
      </c>
      <c r="H13" s="13">
        <v>78.41999816894531</v>
      </c>
      <c r="I13" s="13">
        <v>104.4499969482422</v>
      </c>
      <c r="J13" s="13">
        <v>80.87999725341797</v>
      </c>
      <c r="K13" s="13">
        <v>90.73000335693359</v>
      </c>
      <c r="L13" s="13">
        <v>28.39999961853027</v>
      </c>
      <c r="M13" s="13">
        <v>105.0199966430664</v>
      </c>
      <c r="N13" s="13">
        <v>65.72000122070312</v>
      </c>
      <c r="O13" s="13">
        <v>72.32805633544922</v>
      </c>
      <c r="P13" s="13">
        <v>109.9378662109375</v>
      </c>
      <c r="Q13" s="13">
        <v>82.78553771972656</v>
      </c>
      <c r="R13" s="13">
        <v>502.0599975585938</v>
      </c>
      <c r="S13" s="13">
        <v>156.1699981689453</v>
      </c>
      <c r="T13" s="13">
        <v>5.00600004196167</v>
      </c>
      <c r="W13" s="14">
        <v>46281</v>
      </c>
      <c r="X13" s="13">
        <v>98.98526821657808</v>
      </c>
      <c r="Y13" s="13">
        <v>97.55963013184879</v>
      </c>
      <c r="Z13" s="13">
        <v>97.96659750152554</v>
      </c>
      <c r="AA13" s="13">
        <v>99.14032829545724</v>
      </c>
      <c r="AB13" s="13">
        <v>98.79075917924604</v>
      </c>
      <c r="AC13" s="13">
        <v>98.73723761420919</v>
      </c>
      <c r="AD13" s="13">
        <v>100.6735219433672</v>
      </c>
    </row>
    <row r="14" spans="1:30">
      <c r="A14" s="14">
        <v>46282</v>
      </c>
      <c r="B14" s="13">
        <v>760.7109985351562</v>
      </c>
      <c r="C14" s="13">
        <v>212.5111694335938</v>
      </c>
      <c r="D14" s="13">
        <v>285.4299926757812</v>
      </c>
      <c r="E14" s="13">
        <v>15.4399995803833</v>
      </c>
      <c r="F14" s="13">
        <v>87.72000122070312</v>
      </c>
      <c r="G14" s="13">
        <v>398.3599853515625</v>
      </c>
      <c r="H14" s="13">
        <v>78.72000122070312</v>
      </c>
      <c r="I14" s="13">
        <v>105.1600036621094</v>
      </c>
      <c r="J14" s="13">
        <v>81.77999877929688</v>
      </c>
      <c r="K14" s="13">
        <v>91.25</v>
      </c>
      <c r="L14" s="13">
        <v>28.3799991607666</v>
      </c>
      <c r="M14" s="13">
        <v>106.0400009155273</v>
      </c>
      <c r="N14" s="13">
        <v>66.91000366210938</v>
      </c>
      <c r="O14" s="13">
        <v>72.32805633544922</v>
      </c>
      <c r="P14" s="13">
        <v>111.1452026367188</v>
      </c>
      <c r="Q14" s="13">
        <v>82.94448852539062</v>
      </c>
      <c r="R14" s="13">
        <v>519.0999755859375</v>
      </c>
      <c r="S14" s="13">
        <v>155.3099975585938</v>
      </c>
      <c r="T14" s="13">
        <v>4.947000026702881</v>
      </c>
      <c r="W14" s="14">
        <v>46282</v>
      </c>
      <c r="X14" s="13">
        <v>100.1076377934035</v>
      </c>
      <c r="Y14" s="13">
        <v>98.03299542409093</v>
      </c>
      <c r="Z14" s="13">
        <v>98.48761582440865</v>
      </c>
      <c r="AA14" s="13">
        <v>99.51959891182261</v>
      </c>
      <c r="AB14" s="13">
        <v>99.89006478042543</v>
      </c>
      <c r="AC14" s="13">
        <v>100.4057934093415</v>
      </c>
      <c r="AD14" s="13">
        <v>100.6026234732759</v>
      </c>
    </row>
    <row r="15" spans="1:30">
      <c r="A15" s="14">
        <v>46283</v>
      </c>
      <c r="B15" s="13">
        <v>761.6900024414062</v>
      </c>
      <c r="C15" s="13">
        <v>211.4949951171875</v>
      </c>
      <c r="D15" s="13">
        <v>284.1000061035156</v>
      </c>
      <c r="E15" s="13">
        <v>14.8100004196167</v>
      </c>
      <c r="F15" s="13">
        <v>87.37999725341797</v>
      </c>
      <c r="G15" s="13">
        <v>401.1700134277344</v>
      </c>
      <c r="H15" s="13">
        <v>78.52999877929688</v>
      </c>
      <c r="I15" s="13">
        <v>104.6999969482422</v>
      </c>
      <c r="J15" s="13">
        <v>81.25</v>
      </c>
      <c r="K15" s="13">
        <v>90.80000305175781</v>
      </c>
      <c r="L15" s="13">
        <v>28.38999938964844</v>
      </c>
      <c r="M15" s="13">
        <v>104.9700012207031</v>
      </c>
      <c r="N15" s="13">
        <v>67.02999877929688</v>
      </c>
      <c r="O15" s="13">
        <v>72.33799743652344</v>
      </c>
      <c r="P15" s="13">
        <v>110.7859954833984</v>
      </c>
      <c r="Q15" s="13">
        <v>82.25900268554688</v>
      </c>
      <c r="R15" s="13">
        <v>533.0700073242188</v>
      </c>
      <c r="S15" s="13">
        <v>153.8200073242188</v>
      </c>
      <c r="T15" s="13">
        <v>4.998000144958496</v>
      </c>
      <c r="W15" s="14">
        <v>46283</v>
      </c>
      <c r="X15" s="13">
        <v>100.2364722241321</v>
      </c>
      <c r="Y15" s="13">
        <v>97.56422659478258</v>
      </c>
      <c r="Z15" s="13">
        <v>98.0287039723185</v>
      </c>
      <c r="AA15" s="13">
        <v>99.27939354510771</v>
      </c>
      <c r="AB15" s="13">
        <v>99.24269851498458</v>
      </c>
      <c r="AC15" s="13">
        <v>101.1140550542494</v>
      </c>
      <c r="AD15" s="13">
        <v>100.6380727083215</v>
      </c>
    </row>
    <row r="16" spans="1:30">
      <c r="A16" s="14">
        <v>46286</v>
      </c>
      <c r="B16" s="13">
        <v>773.5</v>
      </c>
      <c r="C16" s="13">
        <v>212.6799926757812</v>
      </c>
      <c r="D16" s="13">
        <v>285.5799865722656</v>
      </c>
      <c r="E16" s="13">
        <v>14.86999988555908</v>
      </c>
      <c r="F16" s="13">
        <v>85.76999664306641</v>
      </c>
      <c r="G16" s="13">
        <v>398.3800048828125</v>
      </c>
      <c r="H16" s="13">
        <v>78.68000030517578</v>
      </c>
      <c r="I16" s="13">
        <v>105.0899963378906</v>
      </c>
      <c r="J16" s="13">
        <v>81.80000305175781</v>
      </c>
      <c r="K16" s="13">
        <v>91.15000152587891</v>
      </c>
      <c r="L16" s="13">
        <v>28.47999954223633</v>
      </c>
      <c r="M16" s="13">
        <v>106.129997253418</v>
      </c>
      <c r="N16" s="13">
        <v>68.83000183105469</v>
      </c>
      <c r="O16" s="13">
        <v>71.98999786376953</v>
      </c>
      <c r="P16" s="13">
        <v>112.2300033569336</v>
      </c>
      <c r="Q16" s="13">
        <v>81.91999816894531</v>
      </c>
      <c r="R16" s="13">
        <v>559.3400268554688</v>
      </c>
      <c r="S16" s="13">
        <v>148.1600036621094</v>
      </c>
      <c r="T16" s="13">
        <v>4.962999820709229</v>
      </c>
      <c r="W16" s="14">
        <v>46286</v>
      </c>
      <c r="X16" s="13">
        <v>101.7906379456916</v>
      </c>
      <c r="Y16" s="13">
        <v>98.11087485119567</v>
      </c>
      <c r="Z16" s="13">
        <v>98.5393712167361</v>
      </c>
      <c r="AA16" s="13">
        <v>99.46902885329041</v>
      </c>
      <c r="AB16" s="13">
        <v>99.91449897095902</v>
      </c>
      <c r="AC16" s="13">
        <v>100.4108392899338</v>
      </c>
      <c r="AD16" s="13">
        <v>100.9571090624823</v>
      </c>
    </row>
    <row r="17" spans="1:30">
      <c r="A17" s="14">
        <v>46287</v>
      </c>
      <c r="B17" s="13">
        <v>773.3800048828125</v>
      </c>
      <c r="C17" s="13">
        <v>212.8000030517578</v>
      </c>
      <c r="D17" s="13">
        <v>287.2099914550781</v>
      </c>
      <c r="E17" s="13">
        <v>14.21000003814697</v>
      </c>
      <c r="F17" s="13">
        <v>83.16999816894531</v>
      </c>
      <c r="G17" s="13">
        <v>400.0700073242188</v>
      </c>
      <c r="H17" s="13">
        <v>78.66999816894531</v>
      </c>
      <c r="I17" s="13">
        <v>105.0899963378906</v>
      </c>
      <c r="J17" s="13">
        <v>81.75</v>
      </c>
      <c r="K17" s="13">
        <v>91.16000366210938</v>
      </c>
      <c r="L17" s="13">
        <v>28.47999954223633</v>
      </c>
      <c r="M17" s="13">
        <v>106.5</v>
      </c>
      <c r="N17" s="13">
        <v>69.09999847412109</v>
      </c>
      <c r="O17" s="13">
        <v>71.19000244140625</v>
      </c>
      <c r="P17" s="13">
        <v>112.3300018310547</v>
      </c>
      <c r="Q17" s="13">
        <v>82.73000335693359</v>
      </c>
      <c r="R17" s="13">
        <v>572.780029296875</v>
      </c>
      <c r="S17" s="13">
        <v>144.0800018310547</v>
      </c>
      <c r="T17" s="13">
        <v>4.967999935150146</v>
      </c>
      <c r="W17" s="14">
        <v>46287</v>
      </c>
      <c r="X17" s="13">
        <v>101.7748468926485</v>
      </c>
      <c r="Y17" s="13">
        <v>98.16623653722051</v>
      </c>
      <c r="Z17" s="13">
        <v>99.10180438357116</v>
      </c>
      <c r="AA17" s="13">
        <v>99.45638392734423</v>
      </c>
      <c r="AB17" s="13">
        <v>99.85342281353833</v>
      </c>
      <c r="AC17" s="13">
        <v>100.8368008378623</v>
      </c>
      <c r="AD17" s="13">
        <v>100.9571090624823</v>
      </c>
    </row>
    <row r="18" spans="1:30">
      <c r="A18" s="14">
        <v>46288</v>
      </c>
      <c r="B18" s="13">
        <v>767.8099975585938</v>
      </c>
      <c r="C18" s="13">
        <v>211.3099975585938</v>
      </c>
      <c r="D18" s="13">
        <v>281.9200134277344</v>
      </c>
      <c r="E18" s="13">
        <v>15.18000030517578</v>
      </c>
      <c r="F18" s="13">
        <v>88.59999847412109</v>
      </c>
      <c r="G18" s="13">
        <v>392.8800048828125</v>
      </c>
      <c r="H18" s="13">
        <v>78.09999847412109</v>
      </c>
      <c r="I18" s="13">
        <v>103.8899993896484</v>
      </c>
      <c r="J18" s="13">
        <v>80.45999908447266</v>
      </c>
      <c r="K18" s="13">
        <v>90.19000244140625</v>
      </c>
      <c r="L18" s="13">
        <v>28.64999961853027</v>
      </c>
      <c r="M18" s="13">
        <v>104.8000030517578</v>
      </c>
      <c r="N18" s="13">
        <v>67.70999908447266</v>
      </c>
      <c r="O18" s="13">
        <v>70.37999725341797</v>
      </c>
      <c r="P18" s="13">
        <v>110.6500015258789</v>
      </c>
      <c r="Q18" s="13">
        <v>82.43000030517578</v>
      </c>
      <c r="R18" s="13">
        <v>565.719970703125</v>
      </c>
      <c r="S18" s="13">
        <v>148.8300018310547</v>
      </c>
      <c r="T18" s="13">
        <v>5.113999843597412</v>
      </c>
      <c r="W18" s="14">
        <v>46288</v>
      </c>
      <c r="X18" s="13">
        <v>101.0418480576202</v>
      </c>
      <c r="Y18" s="13">
        <v>97.47888583427844</v>
      </c>
      <c r="Z18" s="13">
        <v>97.27649752358609</v>
      </c>
      <c r="AA18" s="13">
        <v>98.73577747245196</v>
      </c>
      <c r="AB18" s="13">
        <v>98.27775300500006</v>
      </c>
      <c r="AC18" s="13">
        <v>99.02457589988973</v>
      </c>
      <c r="AD18" s="13">
        <v>101.5597325357582</v>
      </c>
    </row>
    <row r="19" spans="1:30">
      <c r="A19" s="14">
        <v>46289</v>
      </c>
      <c r="B19" s="13">
        <v>767.1799926757812</v>
      </c>
      <c r="C19" s="13">
        <v>210.2599945068359</v>
      </c>
      <c r="D19" s="13">
        <v>281.6600036621094</v>
      </c>
      <c r="E19" s="13">
        <v>15.67000007629395</v>
      </c>
      <c r="F19" s="13">
        <v>90.56999969482422</v>
      </c>
      <c r="G19" s="13">
        <v>391.6900024414062</v>
      </c>
      <c r="H19" s="13">
        <v>77.88999938964844</v>
      </c>
      <c r="I19" s="13">
        <v>103.1500015258789</v>
      </c>
      <c r="J19" s="13">
        <v>79.41999816894531</v>
      </c>
      <c r="K19" s="13">
        <v>89.69000244140625</v>
      </c>
      <c r="L19" s="13">
        <v>28.69000053405762</v>
      </c>
      <c r="M19" s="13">
        <v>104.5</v>
      </c>
      <c r="N19" s="13">
        <v>67.25</v>
      </c>
      <c r="O19" s="13">
        <v>70.94000244140625</v>
      </c>
      <c r="P19" s="13">
        <v>110.3199996948242</v>
      </c>
      <c r="Q19" s="13">
        <v>81.69999694824219</v>
      </c>
      <c r="R19" s="13">
        <v>566.0700073242188</v>
      </c>
      <c r="S19" s="13">
        <v>153.0899963378906</v>
      </c>
      <c r="T19" s="13">
        <v>5.162000179290771</v>
      </c>
      <c r="W19" s="14">
        <v>46289</v>
      </c>
      <c r="X19" s="13">
        <v>100.9589410131077</v>
      </c>
      <c r="Y19" s="13">
        <v>96.9945115557753</v>
      </c>
      <c r="Z19" s="13">
        <v>97.18678115682515</v>
      </c>
      <c r="AA19" s="13">
        <v>98.47029189909715</v>
      </c>
      <c r="AB19" s="13">
        <v>97.00744534573867</v>
      </c>
      <c r="AC19" s="13">
        <v>98.72463829651072</v>
      </c>
      <c r="AD19" s="13">
        <v>101.7015294759409</v>
      </c>
    </row>
    <row r="20" spans="1:30">
      <c r="A20" s="14">
        <v>46290</v>
      </c>
      <c r="B20" s="13">
        <v>771.3499755859375</v>
      </c>
      <c r="C20" s="13">
        <v>211.1100006103516</v>
      </c>
      <c r="D20" s="13">
        <v>281.9700012207031</v>
      </c>
      <c r="E20" s="13">
        <v>14.86999988555908</v>
      </c>
      <c r="F20" s="13">
        <v>87.83999633789062</v>
      </c>
      <c r="G20" s="13">
        <v>393.4100036621094</v>
      </c>
      <c r="H20" s="13">
        <v>77.86000061035156</v>
      </c>
      <c r="I20" s="13">
        <v>103.2099990844727</v>
      </c>
      <c r="J20" s="13">
        <v>79.31999969482422</v>
      </c>
      <c r="K20" s="13">
        <v>90</v>
      </c>
      <c r="L20" s="13">
        <v>28.6200008392334</v>
      </c>
      <c r="M20" s="13">
        <v>105.5599975585938</v>
      </c>
      <c r="N20" s="13">
        <v>67.98000335693359</v>
      </c>
      <c r="O20" s="13">
        <v>71.55000305175781</v>
      </c>
      <c r="P20" s="13">
        <v>110.5599975585938</v>
      </c>
      <c r="Q20" s="13">
        <v>82.05999755859375</v>
      </c>
      <c r="R20" s="13">
        <v>572.6799926757812</v>
      </c>
      <c r="S20" s="13">
        <v>148.3300018310547</v>
      </c>
      <c r="T20" s="13">
        <v>5.184000015258789</v>
      </c>
      <c r="W20" s="14">
        <v>46290</v>
      </c>
      <c r="X20" s="13">
        <v>101.5077001865368</v>
      </c>
      <c r="Y20" s="13">
        <v>97.3866257428954</v>
      </c>
      <c r="Z20" s="13">
        <v>97.29374581099857</v>
      </c>
      <c r="AA20" s="13">
        <v>98.43236676651111</v>
      </c>
      <c r="AB20" s="13">
        <v>96.88530234981056</v>
      </c>
      <c r="AC20" s="13">
        <v>99.15816097343651</v>
      </c>
      <c r="AD20" s="13">
        <v>101.4533915918715</v>
      </c>
    </row>
  </sheetData>
  <autoFilter ref="A1:T2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29"/>
  <sheetViews>
    <sheetView workbookViewId="0"/>
  </sheetViews>
  <sheetFormatPr defaultRowHeight="15"/>
  <cols>
    <col min="1" max="1" width="26.7109375" customWidth="1"/>
    <col min="2" max="2" width="105.7109375" customWidth="1"/>
  </cols>
  <sheetData>
    <row r="1" spans="1:2">
      <c r="A1" s="1" t="s">
        <v>98</v>
      </c>
      <c r="B1" s="1"/>
    </row>
    <row r="3" spans="1:2">
      <c r="A3" s="6" t="s">
        <v>99</v>
      </c>
      <c r="B3" s="9" t="s">
        <v>100</v>
      </c>
    </row>
    <row r="4" spans="1:2">
      <c r="A4" s="6" t="s">
        <v>101</v>
      </c>
      <c r="B4" s="9" t="s">
        <v>102</v>
      </c>
    </row>
    <row r="5" spans="1:2">
      <c r="A5" s="6" t="s">
        <v>103</v>
      </c>
      <c r="B5" s="9" t="s">
        <v>104</v>
      </c>
    </row>
    <row r="6" spans="1:2">
      <c r="A6" s="6" t="s">
        <v>105</v>
      </c>
      <c r="B6" s="9" t="s">
        <v>106</v>
      </c>
    </row>
    <row r="7" spans="1:2">
      <c r="A7" s="6" t="s">
        <v>107</v>
      </c>
      <c r="B7" s="9" t="s">
        <v>108</v>
      </c>
    </row>
    <row r="8" spans="1:2">
      <c r="A8" s="6" t="s">
        <v>109</v>
      </c>
      <c r="B8" s="9" t="s">
        <v>110</v>
      </c>
    </row>
    <row r="10" spans="1:2">
      <c r="A10" s="6" t="s">
        <v>59</v>
      </c>
      <c r="B10" s="6" t="s">
        <v>111</v>
      </c>
    </row>
    <row r="11" spans="1:2">
      <c r="A11" t="s">
        <v>72</v>
      </c>
      <c r="B11" t="s">
        <v>3</v>
      </c>
    </row>
    <row r="12" spans="1:2">
      <c r="A12" t="s">
        <v>85</v>
      </c>
      <c r="B12" t="s">
        <v>86</v>
      </c>
    </row>
    <row r="13" spans="1:2">
      <c r="A13" t="s">
        <v>87</v>
      </c>
      <c r="B13" t="s">
        <v>88</v>
      </c>
    </row>
    <row r="14" spans="1:2">
      <c r="A14" t="s">
        <v>54</v>
      </c>
      <c r="B14" t="s">
        <v>96</v>
      </c>
    </row>
    <row r="15" spans="1:2">
      <c r="A15" t="s">
        <v>94</v>
      </c>
      <c r="B15" t="s">
        <v>95</v>
      </c>
    </row>
    <row r="16" spans="1:2">
      <c r="A16" t="s">
        <v>42</v>
      </c>
      <c r="B16" t="s">
        <v>74</v>
      </c>
    </row>
    <row r="17" spans="1:2">
      <c r="A17" t="s">
        <v>79</v>
      </c>
      <c r="B17" t="s">
        <v>80</v>
      </c>
    </row>
    <row r="18" spans="1:2">
      <c r="A18" t="s">
        <v>81</v>
      </c>
      <c r="B18" t="s">
        <v>82</v>
      </c>
    </row>
    <row r="19" spans="1:2">
      <c r="A19" t="s">
        <v>48</v>
      </c>
      <c r="B19" t="s">
        <v>91</v>
      </c>
    </row>
    <row r="20" spans="1:2">
      <c r="A20" t="s">
        <v>83</v>
      </c>
      <c r="B20" t="s">
        <v>84</v>
      </c>
    </row>
    <row r="21" spans="1:2">
      <c r="A21" t="s">
        <v>39</v>
      </c>
      <c r="B21" t="s">
        <v>73</v>
      </c>
    </row>
    <row r="22" spans="1:2">
      <c r="A22" t="s">
        <v>75</v>
      </c>
      <c r="B22" t="s">
        <v>76</v>
      </c>
    </row>
    <row r="23" spans="1:2">
      <c r="A23" t="s">
        <v>70</v>
      </c>
      <c r="B23" t="s">
        <v>71</v>
      </c>
    </row>
    <row r="24" spans="1:2">
      <c r="A24" t="s">
        <v>77</v>
      </c>
      <c r="B24" t="s">
        <v>78</v>
      </c>
    </row>
    <row r="25" spans="1:2">
      <c r="A25" t="s">
        <v>92</v>
      </c>
      <c r="B25" t="s">
        <v>93</v>
      </c>
    </row>
    <row r="26" spans="1:2">
      <c r="A26" t="s">
        <v>89</v>
      </c>
      <c r="B26" t="s">
        <v>90</v>
      </c>
    </row>
    <row r="27" spans="1:2">
      <c r="A27" t="s">
        <v>66</v>
      </c>
      <c r="B27" t="s">
        <v>67</v>
      </c>
    </row>
    <row r="28" spans="1:2">
      <c r="A28" t="s">
        <v>45</v>
      </c>
      <c r="B28" t="s">
        <v>69</v>
      </c>
    </row>
    <row r="29" spans="1:2">
      <c r="A29" t="s">
        <v>51</v>
      </c>
      <c r="B29" t="s">
        <v>68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Analysis</vt:lpstr>
      <vt:lpstr>Prices</vt:lpstr>
      <vt:lpstr>Methodology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2026-09-25T21:17:54Z</dcterms:created>
  <dcterms:modified xsi:type="dcterms:W3CDTF">2026-09-25T21:17:54Z</dcterms:modified>
</cp:coreProperties>
</file>